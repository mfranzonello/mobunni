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18876" windowHeight="5376"/>
  </bookViews>
  <sheets>
    <sheet name="⚙" sheetId="2" r:id="rId1"/>
    <sheet name="📚" sheetId="63" state="hidden" r:id="rId2"/>
    <sheet name="📃" sheetId="84" state="hidden" r:id="rId3"/>
  </sheets>
  <functionGroups builtInGroupCount="18"/>
  <definedNames>
    <definedName name="_xlcn.WorksheetConnection_bpm_inputs_template.xlsxSQL_Servers1" hidden="1">SQL_Servers[]</definedName>
    <definedName name="allow_early_deploy" localSheetId="2">'📃'!$V$7</definedName>
    <definedName name="allow_redeploy" localSheetId="2">'📃'!$V$5</definedName>
    <definedName name="allow_repairs" localSheetId="2">'📃'!$V$4</definedName>
    <definedName name="ceff_limit" localSheetId="2">'📃'!$D$5</definedName>
    <definedName name="contract_length" localSheetId="2">'📃'!$C$11</definedName>
    <definedName name="ctmo_limit" localSheetId="2">'📃'!$C$5</definedName>
    <definedName name="eoc_replacements" localSheetId="2">'📃'!$V$8</definedName>
    <definedName name="ExternalData_1" localSheetId="1" hidden="1">'📚'!$I$3:$I$6</definedName>
    <definedName name="ExternalData_2" localSheetId="1" hidden="1">'📚'!$U$3:$U$8</definedName>
    <definedName name="ExternalData_3" localSheetId="1" hidden="1">'📚'!$K$3:$L$135</definedName>
    <definedName name="ExternalData_4" localSheetId="1" hidden="1">'📚'!$W$3:$X$16</definedName>
    <definedName name="ExternalData_5" localSheetId="1" hidden="1">'📚'!$Z$3:$AB$37</definedName>
    <definedName name="ExternalData_6" localSheetId="1" hidden="1">'📚'!$AG$3:$AH$667</definedName>
    <definedName name="main" localSheetId="1" hidden="1">'📚'!$B$3:$G$135</definedName>
    <definedName name="main_1" localSheetId="1" hidden="1">'📚'!$N$3:$S$37</definedName>
    <definedName name="main_2" localSheetId="1" hidden="1">'📚'!#REF!</definedName>
    <definedName name="mobunni_apc" localSheetId="1" hidden="1">'📚'!$AD$3:$AE$667</definedName>
    <definedName name="modules_dropdown_1_model">SQL_Modules_1[model]</definedName>
    <definedName name="modules_dropdown_2_mark">SQL_Modules_2[mark]</definedName>
    <definedName name="modules_dropdown_2_model">SQL_Modules_2[model]</definedName>
    <definedName name="modules_dropdown_3_mark">SQL_Modules_3[mark]</definedName>
    <definedName name="modules_dropdown_3_model">SQL_Modules_3[model]</definedName>
    <definedName name="modules_dropdown_3_model_number">SQL_Modules_3[model_number]</definedName>
    <definedName name="multiplier" localSheetId="2">'📃'!$M$11</definedName>
    <definedName name="n_runs" localSheetId="0">'⚙'!$C$8</definedName>
    <definedName name="n_sites" localSheetId="0">'⚙'!$C$4</definedName>
    <definedName name="n_years" localSheetId="0">'⚙'!$C$6</definedName>
    <definedName name="peff_limit" localSheetId="2">'📃'!$D$7</definedName>
    <definedName name="ptmo_limit" localSheetId="2">'📃'!$C$7</definedName>
    <definedName name="servers_dropdown_1_model">SQL_Servers_0[model]</definedName>
    <definedName name="servers_dropdown_2_model">SQL_Servers_2[model]</definedName>
    <definedName name="servers_dropdown_2_model_number">SQL_Servers_2[model_number]</definedName>
    <definedName name="site_code" localSheetId="2">'📃'!$J$4</definedName>
    <definedName name="sites_dropdown">SQL_Sites_1[id]</definedName>
    <definedName name="SQL_Servers_1" localSheetId="1" hidden="1">'📚'!#REF!</definedName>
    <definedName name="start_date" localSheetId="2">'📃'!$J$9</definedName>
    <definedName name="target_size" localSheetId="2">'📃'!$J$11</definedName>
    <definedName name="use_best_only" localSheetId="2">'📃'!$V$6</definedName>
    <definedName name="weff_limit" localSheetId="2">'📃'!$D$6</definedName>
    <definedName name="window" localSheetId="2">'📃'!$E$6</definedName>
    <definedName name="wtmo_limit" localSheetId="2">'📃'!$C$6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QL_Servers" name="SQL_Servers" connection="WorksheetConnection_bpm_inputs_template.xlsx!SQL_Servers"/>
        </x15:modelTables>
      </x15:dataModel>
    </ext>
  </extLst>
</workbook>
</file>

<file path=xl/calcChain.xml><?xml version="1.0" encoding="utf-8"?>
<calcChain xmlns="http://schemas.openxmlformats.org/spreadsheetml/2006/main">
  <c r="K4" i="84" l="1"/>
  <c r="N15" i="84"/>
  <c r="M15" i="84"/>
  <c r="L15" i="84"/>
  <c r="S6" i="84"/>
  <c r="M11" i="84" l="1"/>
  <c r="L16" i="84" l="1"/>
  <c r="I15" i="84"/>
</calcChain>
</file>

<file path=xl/connections.xml><?xml version="1.0" encoding="utf-8"?>
<connections xmlns="http://schemas.openxmlformats.org/spreadsheetml/2006/main">
  <connection id="1" odcFile="\\Denali\Departments\Marketing\Product_Management\Service Costs\mobunni.odc" name="Mobunni APC" description="APC table of service cost DB" type="1" refreshedVersion="6" background="1" saveData="1">
    <dbPr connection="DSN=SQLite3 Datasource;Database=\\Denali\Departments\Marketing\Product_Management\Service Costs\mobunni.db;StepAPI=0;SyncPragma=NORMAL;NoTXN=0;Timeout=100000;ShortNames=0;LongNames=0;NoCreat=0;NoWCHAR=0;FKSupport=0;JournalMode=;OEMCP=0;LoadExt=;BigInt=0;JDConv=0;" command="SELECT * FROM &quot;main&quot;.&quot;APC&quot;"/>
  </connection>
  <connection id="2" odcFile="\\Denali\Departments\Marketing\Product_Management\Service Costs\mobunni.odc" name="Mobunni Module" description="Module table of service cost DB" type="1" refreshedVersion="6" background="1" saveData="1">
    <dbPr connection="DSN=SQLite3 Datasource;Database=\\Denali\Departments\Marketing\Product_Management\Service Costs\mobunni.db;StepAPI=0;SyncPragma=NORMAL;NoTXN=0;Timeout=100000;ShortNames=0;LongNames=0;NoCreat=0;NoWCHAR=0;FKSupport=0;JournalMode=;OEMCP=0;LoadExt=;BigInt=0;JDConv=0;" command="SELECT * FROM &quot;main&quot;.&quot;Module&quot;"/>
  </connection>
  <connection id="3" odcFile="\\Denali\Departments\Marketing\Product_Management\Service Costs\mobunni.odc" name="Mobunni Server" description="Server table of service cost DB" type="1" refreshedVersion="6" background="1" saveData="1">
    <dbPr connection="DSN=SQLite3 Datasource;Database=\\Denali\Departments\Marketing\Product_Management\Service Costs\mobunni.db;StepAPI=0;SyncPragma=NORMAL;NoTXN=0;Timeout=100000;ShortNames=0;LongNames=0;NoCreat=0;NoWCHAR=0;FKSupport=0;JournalMode=;OEMCP=0;LoadExt=;BigInt=0;JDConv=0;" command="SELECT * FROM &quot;main&quot;.&quot;Server&quot;"/>
  </connection>
  <connection id="4" keepAlive="1" name="Query - SQL_Modules_1" description="Connection to the 'SQL_Modules_1' query in the workbook." type="5" refreshedVersion="6" background="1" saveData="1">
    <dbPr connection="Provider=Microsoft.Mashup.OleDb.1;Data Source=$Workbook$;Location=SQL_Modules_1;Extended Properties=&quot;&quot;" command="SELECT * FROM [SQL_Modules_1]"/>
  </connection>
  <connection id="5" keepAlive="1" name="Query - SQL_Modules_2" description="Connection to the 'SQL_Modules_2' query in the workbook." type="5" refreshedVersion="6" background="1" saveData="1">
    <dbPr connection="Provider=Microsoft.Mashup.OleDb.1;Data Source=$Workbook$;Location=SQL_Modules_2;Extended Properties=&quot;&quot;" command="SELECT * FROM [SQL_Modules_2]"/>
  </connection>
  <connection id="6" keepAlive="1" name="Query - SQL_Modules_3" description="Connection to the 'SQL_Modules_3' query in the workbook." type="5" refreshedVersion="6" background="1" saveData="1">
    <dbPr connection="Provider=Microsoft.Mashup.OleDb.1;Data Source=$Workbook$;Location=SQL_Modules_3;Extended Properties=&quot;&quot;" command="SELECT * FROM [SQL_Modules_3]"/>
  </connection>
  <connection id="7" keepAlive="1" name="Query - SQL_Servers_1" description="Connection to the 'SQL_Servers_1' query in the workbook." type="5" refreshedVersion="6" background="1" saveData="1">
    <dbPr connection="Provider=Microsoft.Mashup.OleDb.1;Data Source=$Workbook$;Location=SQL_Servers_1;Extended Properties=&quot;&quot;" command="SELECT * FROM [SQL_Servers_1]"/>
  </connection>
  <connection id="8" keepAlive="1" name="Query - SQL_Servers_2" description="Connection to the 'SQL_Servers_2' query in the workbook." type="5" refreshedVersion="6" background="1" saveData="1">
    <dbPr connection="Provider=Microsoft.Mashup.OleDb.1;Data Source=$Workbook$;Location=SQL_Servers_2;Extended Properties=&quot;&quot;" command="SELECT * FROM [SQL_Servers_2]"/>
  </connection>
  <connection id="9" keepAlive="1" name="Query - SQL_Sites_1" description="Connection to the 'SQL_Sites_1' query in the workbook." type="5" refreshedVersion="6" background="1" saveData="1">
    <dbPr connection="Provider=Microsoft.Mashup.OleDb.1;Data Source=$Workbook$;Location=SQL_Sites_1;Extended Properties=&quot;&quot;" command="SELECT * FROM [SQL_Sites_1]"/>
  </connection>
  <connection id="10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name="WorksheetConnection_bpm_inputs_template.xlsx!SQL_Servers" type="102" refreshedVersion="6" minRefreshableVersion="5">
    <extLst>
      <ext xmlns:x15="http://schemas.microsoft.com/office/spreadsheetml/2010/11/main" uri="{DE250136-89BD-433C-8126-D09CA5730AF9}">
        <x15:connection id="SQL_Servers">
          <x15:rangePr sourceName="_xlcn.WorksheetConnection_bpm_inputs_template.xlsxSQL_Servers1"/>
        </x15:connection>
      </ext>
    </extLst>
  </connection>
</connections>
</file>

<file path=xl/sharedStrings.xml><?xml version="1.0" encoding="utf-8"?>
<sst xmlns="http://schemas.openxmlformats.org/spreadsheetml/2006/main" count="3565" uniqueCount="1031">
  <si>
    <t>start date</t>
  </si>
  <si>
    <t>contract length</t>
  </si>
  <si>
    <t>years</t>
  </si>
  <si>
    <t>CONTRACT</t>
  </si>
  <si>
    <t>PROJECT DETAILS</t>
  </si>
  <si>
    <t>MC runs</t>
  </si>
  <si>
    <t>sites</t>
  </si>
  <si>
    <t>model</t>
  </si>
  <si>
    <t>mark</t>
  </si>
  <si>
    <t>Yuma</t>
  </si>
  <si>
    <t>ES5-YA1AAN</t>
  </si>
  <si>
    <t>ES5-YA8AAC</t>
  </si>
  <si>
    <t>ES5-YA8AAN</t>
  </si>
  <si>
    <t>ES5-YA1AAA</t>
  </si>
  <si>
    <t>ES5-YA8AAA</t>
  </si>
  <si>
    <t>ES5-YA8AAU</t>
  </si>
  <si>
    <t>ES5-YH8AAN</t>
  </si>
  <si>
    <t>ES5-AA2AAC</t>
  </si>
  <si>
    <t>ES5-AA2AAD</t>
  </si>
  <si>
    <t>ES5-AA2AAM</t>
  </si>
  <si>
    <t>ES5-AA2AAN</t>
  </si>
  <si>
    <t>ES5-AACAAM</t>
  </si>
  <si>
    <t>ES5-AACAAN</t>
  </si>
  <si>
    <t>ES5-EA2AAC</t>
  </si>
  <si>
    <t>ES5-EA2AAM</t>
  </si>
  <si>
    <t>ES5-EA2AAN</t>
  </si>
  <si>
    <t>ES5-EACAAN</t>
  </si>
  <si>
    <t>ES5-AA2AAA</t>
  </si>
  <si>
    <t>ES5-AA2AAB</t>
  </si>
  <si>
    <t>ES5-AA2AAU</t>
  </si>
  <si>
    <t>ES5-AACAAA</t>
  </si>
  <si>
    <t>ES5-AACAAB</t>
  </si>
  <si>
    <t>ES5-DA2AAA</t>
  </si>
  <si>
    <t>ES5-DACAAA</t>
  </si>
  <si>
    <t>ES5-EA2AAA</t>
  </si>
  <si>
    <t>ES5-EA2AAU</t>
  </si>
  <si>
    <t>ES5-EACAAA</t>
  </si>
  <si>
    <t>ES5-EHGAAN</t>
  </si>
  <si>
    <t>ES5-BABAAC</t>
  </si>
  <si>
    <t>ES5-BABAAD</t>
  </si>
  <si>
    <t>ES5-BABAAM</t>
  </si>
  <si>
    <t>ES5-BABAAN</t>
  </si>
  <si>
    <t>ES5-BADAAM</t>
  </si>
  <si>
    <t>ES5-BADAAN</t>
  </si>
  <si>
    <t>ES5-FABAAM</t>
  </si>
  <si>
    <t>ES5-FABAAN</t>
  </si>
  <si>
    <t>ES5-FADAAM</t>
  </si>
  <si>
    <t>ES5-FADAAN</t>
  </si>
  <si>
    <t>ES5-BABAAA</t>
  </si>
  <si>
    <t>ES5-BABAAB</t>
  </si>
  <si>
    <t>ES5-BABAAU</t>
  </si>
  <si>
    <t>ES5-BADAAA</t>
  </si>
  <si>
    <t>ES5-BADAAB</t>
  </si>
  <si>
    <t>ES5-FABAAA</t>
  </si>
  <si>
    <t>ES5-FABAAB</t>
  </si>
  <si>
    <t>ES5-FABAAU</t>
  </si>
  <si>
    <t>ES5-FADAAA</t>
  </si>
  <si>
    <t>ES5-FADAAB</t>
  </si>
  <si>
    <t>ES5-LABAJC</t>
  </si>
  <si>
    <t>ES5-FBDAAN</t>
  </si>
  <si>
    <t>ES5-FABAAC</t>
  </si>
  <si>
    <t>ES5-UABAAB</t>
  </si>
  <si>
    <t>ES5-UABAAM</t>
  </si>
  <si>
    <t>ES5-MA3AAM</t>
  </si>
  <si>
    <t>ES5-VA3AAM</t>
  </si>
  <si>
    <t>ES5-VA4AAM</t>
  </si>
  <si>
    <t>ES5-MA4AAM</t>
  </si>
  <si>
    <t>ES5-MB4AAN</t>
  </si>
  <si>
    <t>ES5-RA4AAM</t>
  </si>
  <si>
    <t>ES5-MA4AAA</t>
  </si>
  <si>
    <t>ES5-MA4AAB</t>
  </si>
  <si>
    <t>ES5-MA4AAN</t>
  </si>
  <si>
    <t>ES5-CA4AAC</t>
  </si>
  <si>
    <t>ES5-CA4AAM</t>
  </si>
  <si>
    <t>ES5-CA4AAN</t>
  </si>
  <si>
    <t>ES5-CA4AAA</t>
  </si>
  <si>
    <t>ES5-CA4AAB</t>
  </si>
  <si>
    <t>ES5-CA4AAU</t>
  </si>
  <si>
    <t>ES5-GA5AAM</t>
  </si>
  <si>
    <t>ES5-SA5AAM</t>
  </si>
  <si>
    <t>ES5-GA5AAA</t>
  </si>
  <si>
    <t>ES5-GA5AAB</t>
  </si>
  <si>
    <t>ES5-TUMAA0</t>
  </si>
  <si>
    <t>ES5-AA2AA0</t>
  </si>
  <si>
    <t>ES5-BABAA0</t>
  </si>
  <si>
    <t>ES5-NBEAAB</t>
  </si>
  <si>
    <t>ES5-QAEAAM</t>
  </si>
  <si>
    <t>ES5-KA8AIA</t>
  </si>
  <si>
    <t>ES5-KA8AIU</t>
  </si>
  <si>
    <t>ES5-JA2AIA</t>
  </si>
  <si>
    <t>ES5-JA2AIU</t>
  </si>
  <si>
    <t>ES5-LABAIA</t>
  </si>
  <si>
    <t>ES5-LABAIU</t>
  </si>
  <si>
    <t>ES5-KA8AJA</t>
  </si>
  <si>
    <t>ES5-KA8AJU</t>
  </si>
  <si>
    <t>ES5-YA8AJA</t>
  </si>
  <si>
    <t>ES5-YA8AJU</t>
  </si>
  <si>
    <t>ES5-EA2AJA</t>
  </si>
  <si>
    <t>ES5-EA2AJU</t>
  </si>
  <si>
    <t>ES5-JA2AJA</t>
  </si>
  <si>
    <t>ES5-PA2AJU</t>
  </si>
  <si>
    <t>ES5-JA2AJU</t>
  </si>
  <si>
    <t>ES5-FABAJA</t>
  </si>
  <si>
    <t>ES5-FABAJB</t>
  </si>
  <si>
    <t>ES5-FABAJU</t>
  </si>
  <si>
    <t>ES5-LABAJA</t>
  </si>
  <si>
    <t>ES5-LABAJB</t>
  </si>
  <si>
    <t>ES5-LABAJU</t>
  </si>
  <si>
    <t>ES5-YA8AKA</t>
  </si>
  <si>
    <t>ES5-EA2AKA</t>
  </si>
  <si>
    <t>ES5-KA1AHA</t>
  </si>
  <si>
    <t>ES5-KA8AHA</t>
  </si>
  <si>
    <t>ES5-JA2AHA</t>
  </si>
  <si>
    <t>Catalina</t>
  </si>
  <si>
    <t>ES-5711</t>
  </si>
  <si>
    <t>ES-5710</t>
  </si>
  <si>
    <t>ES-5710-E</t>
  </si>
  <si>
    <t>ES-5700</t>
  </si>
  <si>
    <t>ES-5700-B</t>
  </si>
  <si>
    <t>ES-5700-C</t>
  </si>
  <si>
    <t>ES-5700-E</t>
  </si>
  <si>
    <t>ES-5700-F</t>
  </si>
  <si>
    <t>ES-5700-H</t>
  </si>
  <si>
    <t>ES-5700-J-50</t>
  </si>
  <si>
    <t>ES-5700-J-60</t>
  </si>
  <si>
    <t>ES-5700-M</t>
  </si>
  <si>
    <t>ES-5710-F</t>
  </si>
  <si>
    <t>ES-5710-M</t>
  </si>
  <si>
    <t>ES-5411</t>
  </si>
  <si>
    <t>ES-5410</t>
  </si>
  <si>
    <t>ES-5400</t>
  </si>
  <si>
    <t>ES-5400-B</t>
  </si>
  <si>
    <t>ES-5400-C</t>
  </si>
  <si>
    <t>ES-5400-M</t>
  </si>
  <si>
    <t>Keeylocko</t>
  </si>
  <si>
    <t>ES75-30041</t>
  </si>
  <si>
    <t>ES75-30040</t>
  </si>
  <si>
    <t>ES75-22531</t>
  </si>
  <si>
    <t>ES75-22530</t>
  </si>
  <si>
    <t>ES75-15021</t>
  </si>
  <si>
    <t>ES75-15020</t>
  </si>
  <si>
    <t>rating</t>
  </si>
  <si>
    <t>I</t>
  </si>
  <si>
    <t>EXISTING SITE</t>
  </si>
  <si>
    <t>site code</t>
  </si>
  <si>
    <t>II</t>
  </si>
  <si>
    <t>Gen3</t>
  </si>
  <si>
    <t>Gen4</t>
  </si>
  <si>
    <t>nameplate</t>
  </si>
  <si>
    <t>server number</t>
  </si>
  <si>
    <t>filled</t>
  </si>
  <si>
    <t>empty</t>
  </si>
  <si>
    <t>total</t>
  </si>
  <si>
    <t>energy servers</t>
  </si>
  <si>
    <t>power modules</t>
  </si>
  <si>
    <t>NEW SITE</t>
  </si>
  <si>
    <t>TWEAKS</t>
  </si>
  <si>
    <t>start</t>
  </si>
  <si>
    <t>end</t>
  </si>
  <si>
    <t>non-replacing years</t>
  </si>
  <si>
    <t>ES-5711X</t>
  </si>
  <si>
    <t>ES-5711XX</t>
  </si>
  <si>
    <t>cumulative guarantee</t>
  </si>
  <si>
    <t>windowed guarantee</t>
  </si>
  <si>
    <t>periodic warranty</t>
  </si>
  <si>
    <t>TMO</t>
  </si>
  <si>
    <t>efficiency</t>
  </si>
  <si>
    <t>TECHNOLOGY</t>
  </si>
  <si>
    <t>model number</t>
  </si>
  <si>
    <t>contract financing</t>
  </si>
  <si>
    <t>target size</t>
  </si>
  <si>
    <t>multiplier</t>
  </si>
  <si>
    <t>kw</t>
  </si>
  <si>
    <t>model_number</t>
  </si>
  <si>
    <t>enclosures</t>
  </si>
  <si>
    <t>plus_one</t>
  </si>
  <si>
    <t>standard</t>
  </si>
  <si>
    <t>ES-XXX</t>
  </si>
  <si>
    <t>initial_date</t>
  </si>
  <si>
    <t>stacks</t>
  </si>
  <si>
    <t>2014-01-01</t>
  </si>
  <si>
    <t>8,6</t>
  </si>
  <si>
    <t>I_old</t>
  </si>
  <si>
    <t>2016-01-01</t>
  </si>
  <si>
    <t>8</t>
  </si>
  <si>
    <t>2020-01-01</t>
  </si>
  <si>
    <t>II_old</t>
  </si>
  <si>
    <t>2021-01-01</t>
  </si>
  <si>
    <t>III</t>
  </si>
  <si>
    <t>III_old</t>
  </si>
  <si>
    <t>2023-01-01</t>
  </si>
  <si>
    <t>IV</t>
  </si>
  <si>
    <t>IV_old</t>
  </si>
  <si>
    <t>2025-01-01</t>
  </si>
  <si>
    <t>V</t>
  </si>
  <si>
    <t>V_old</t>
  </si>
  <si>
    <t>2027-01-01</t>
  </si>
  <si>
    <t>VI</t>
  </si>
  <si>
    <t>VI_old</t>
  </si>
  <si>
    <t>2029-01-01</t>
  </si>
  <si>
    <t>I-ASRD6</t>
  </si>
  <si>
    <t>2024-01-01</t>
  </si>
  <si>
    <t>III-ASRD6</t>
  </si>
  <si>
    <t>IV-ASRD6</t>
  </si>
  <si>
    <t>2026-01-01</t>
  </si>
  <si>
    <t>V-ASRD6</t>
  </si>
  <si>
    <t>2028-01-01</t>
  </si>
  <si>
    <t>VI-ASRD6</t>
  </si>
  <si>
    <t>2030-01-01</t>
  </si>
  <si>
    <t>I-HPD</t>
  </si>
  <si>
    <t>I-6yr</t>
  </si>
  <si>
    <t>I-30B</t>
  </si>
  <si>
    <t>I-40B</t>
  </si>
  <si>
    <t>I-65HP</t>
  </si>
  <si>
    <t>I-5_Albert</t>
  </si>
  <si>
    <t>2015-01-01</t>
  </si>
  <si>
    <t>I-H2</t>
  </si>
  <si>
    <t>2031-01-01</t>
  </si>
  <si>
    <t>2023-06-01</t>
  </si>
  <si>
    <t>II-Pathfinder_1</t>
  </si>
  <si>
    <t>II-Pathfinder_2</t>
  </si>
  <si>
    <t>II-Pathfinder_3</t>
  </si>
  <si>
    <t>II-Pathfinder_4</t>
  </si>
  <si>
    <t>II-Pathfinder_5</t>
  </si>
  <si>
    <t>II-capped</t>
  </si>
  <si>
    <t>SQL Modules Datasheet</t>
  </si>
  <si>
    <t>...</t>
  </si>
  <si>
    <t>Servers Dropdown 1</t>
  </si>
  <si>
    <t>SQL Servers Datasheet</t>
  </si>
  <si>
    <t>Servers Dropdown 2</t>
  </si>
  <si>
    <t>Modules Dropdown 1</t>
  </si>
  <si>
    <t>Modules Dropdown 2</t>
  </si>
  <si>
    <t>Modules Dropdown 3</t>
  </si>
  <si>
    <t>id</t>
  </si>
  <si>
    <t>customer</t>
  </si>
  <si>
    <t>GLD008.0</t>
  </si>
  <si>
    <t>Gilead</t>
  </si>
  <si>
    <t>SKK002.0</t>
  </si>
  <si>
    <t>SK E&amp;C</t>
  </si>
  <si>
    <t>RED000.K</t>
  </si>
  <si>
    <t>Delmarva</t>
  </si>
  <si>
    <t>RED000.E</t>
  </si>
  <si>
    <t>KSR074.B</t>
  </si>
  <si>
    <t>Kaiser Permanente</t>
  </si>
  <si>
    <t>RED000.J</t>
  </si>
  <si>
    <t>RED000.H</t>
  </si>
  <si>
    <t>TLR001.0</t>
  </si>
  <si>
    <t>Taylor Farms</t>
  </si>
  <si>
    <t>COX002.0</t>
  </si>
  <si>
    <t>Cox Enterprises</t>
  </si>
  <si>
    <t>RMR000.0</t>
  </si>
  <si>
    <t>Ramar Foods</t>
  </si>
  <si>
    <t>KSR014.0</t>
  </si>
  <si>
    <t>RED000.G</t>
  </si>
  <si>
    <t>KSR017.0</t>
  </si>
  <si>
    <t>KSR058.0</t>
  </si>
  <si>
    <t>KSR044.0</t>
  </si>
  <si>
    <t>HDP157.0</t>
  </si>
  <si>
    <t>Home Depot</t>
  </si>
  <si>
    <t>EXN001.0</t>
  </si>
  <si>
    <t>Extreme Networks</t>
  </si>
  <si>
    <t>EXN000.0</t>
  </si>
  <si>
    <t>CTC013.0</t>
  </si>
  <si>
    <t>Costco</t>
  </si>
  <si>
    <t>TKD000.B</t>
  </si>
  <si>
    <t>Takeda</t>
  </si>
  <si>
    <t>TKD000.A</t>
  </si>
  <si>
    <t>SRK000.0</t>
  </si>
  <si>
    <t>Sharks Sports and Entertainment</t>
  </si>
  <si>
    <t>RAT000.0</t>
  </si>
  <si>
    <t>Ratkovich</t>
  </si>
  <si>
    <t>IIV000.A</t>
  </si>
  <si>
    <t>II-VI</t>
  </si>
  <si>
    <t>HDP106.0</t>
  </si>
  <si>
    <t>HDP136.0</t>
  </si>
  <si>
    <t>SCO002.0</t>
  </si>
  <si>
    <t>Southern Company</t>
  </si>
  <si>
    <t>KSE000.A</t>
  </si>
  <si>
    <t>Korea South-East Power Co</t>
  </si>
  <si>
    <t>HDP093.0</t>
  </si>
  <si>
    <t>SCU000.A</t>
  </si>
  <si>
    <t>Santa Clara Univ</t>
  </si>
  <si>
    <t>HDP044.0</t>
  </si>
  <si>
    <t>EQX011.C</t>
  </si>
  <si>
    <t>Equinix</t>
  </si>
  <si>
    <t>HDP110.0</t>
  </si>
  <si>
    <t>HDP053.0</t>
  </si>
  <si>
    <t>HDP089.0</t>
  </si>
  <si>
    <t>KSR022.0</t>
  </si>
  <si>
    <t>AGT000.0</t>
  </si>
  <si>
    <t>Agilent</t>
  </si>
  <si>
    <t>NHH003.0</t>
  </si>
  <si>
    <t>Kings County Hospital NY</t>
  </si>
  <si>
    <t>HDP145.0</t>
  </si>
  <si>
    <t>HDP050.0</t>
  </si>
  <si>
    <t>TLR000.A</t>
  </si>
  <si>
    <t>KSR060.0</t>
  </si>
  <si>
    <t>NHH005.0</t>
  </si>
  <si>
    <t>NHH004.0</t>
  </si>
  <si>
    <t>NHH002.0</t>
  </si>
  <si>
    <t>OMH000.0</t>
  </si>
  <si>
    <t>Kingsboro Psychiatric Center</t>
  </si>
  <si>
    <t>XLX001.0</t>
  </si>
  <si>
    <t>Xilinx</t>
  </si>
  <si>
    <t>GFA000.0</t>
  </si>
  <si>
    <t>Georg Fischer Harvel Division</t>
  </si>
  <si>
    <t>HDP087.0</t>
  </si>
  <si>
    <t>KSR053.0</t>
  </si>
  <si>
    <t>SDM000.0</t>
  </si>
  <si>
    <t>SUNY Downstate Medical</t>
  </si>
  <si>
    <t>HDP081.0</t>
  </si>
  <si>
    <t>NTL005.0</t>
  </si>
  <si>
    <t>Intel</t>
  </si>
  <si>
    <t>NTL002.C</t>
  </si>
  <si>
    <t>KSR028.0</t>
  </si>
  <si>
    <t>KSE000.B</t>
  </si>
  <si>
    <t>EQX011.B</t>
  </si>
  <si>
    <t>NTL004.0</t>
  </si>
  <si>
    <t>HDP166.0</t>
  </si>
  <si>
    <t>CTC012.0</t>
  </si>
  <si>
    <t>DKK000.0</t>
  </si>
  <si>
    <t>DKKK Japan - Daiichi Kigenso Kagaku Kogyo CO., LTD</t>
  </si>
  <si>
    <t>EQX015.A</t>
  </si>
  <si>
    <t>EQX014.B</t>
  </si>
  <si>
    <t>EQX014.A</t>
  </si>
  <si>
    <t>SDC000.0</t>
  </si>
  <si>
    <t>San Diego Community College District</t>
  </si>
  <si>
    <t>SRK001.0</t>
  </si>
  <si>
    <t>HDP165.0</t>
  </si>
  <si>
    <t>MDC002.B</t>
  </si>
  <si>
    <t>Medtronic</t>
  </si>
  <si>
    <t>SNM003.0</t>
  </si>
  <si>
    <t>Sanmina</t>
  </si>
  <si>
    <t>HDP142.0</t>
  </si>
  <si>
    <t>SNM001.0</t>
  </si>
  <si>
    <t>EQX001.B</t>
  </si>
  <si>
    <t>HDP078.0</t>
  </si>
  <si>
    <t>EQX013.B</t>
  </si>
  <si>
    <t>EQX009.0</t>
  </si>
  <si>
    <t>EQX002.0</t>
  </si>
  <si>
    <t>KSR023.0</t>
  </si>
  <si>
    <t>KSR059.0</t>
  </si>
  <si>
    <t>ATA007.0</t>
  </si>
  <si>
    <t>AT&amp;T</t>
  </si>
  <si>
    <t>TJX001.0</t>
  </si>
  <si>
    <t>The TJX Companies, Inc</t>
  </si>
  <si>
    <t>KSR029.0</t>
  </si>
  <si>
    <t>KSR011.0</t>
  </si>
  <si>
    <t>SMC001.0</t>
  </si>
  <si>
    <t>Super Micro Computer, Inc</t>
  </si>
  <si>
    <t>ATT087.0</t>
  </si>
  <si>
    <t>APP011.B</t>
  </si>
  <si>
    <t>Apple</t>
  </si>
  <si>
    <t>APP011.D</t>
  </si>
  <si>
    <t>KSR018.A</t>
  </si>
  <si>
    <t>HDD086.0</t>
  </si>
  <si>
    <t>ATT093.0</t>
  </si>
  <si>
    <t>MDC002.A</t>
  </si>
  <si>
    <t>KSR039.0</t>
  </si>
  <si>
    <t>KSR016.0</t>
  </si>
  <si>
    <t>HDP010.0</t>
  </si>
  <si>
    <t>HDD050.0</t>
  </si>
  <si>
    <t>FDX007.0</t>
  </si>
  <si>
    <t>FedEx</t>
  </si>
  <si>
    <t>BLD001.0</t>
  </si>
  <si>
    <t>Stanley Black &amp; Decker</t>
  </si>
  <si>
    <t>EQX008.0</t>
  </si>
  <si>
    <t>APP011.C</t>
  </si>
  <si>
    <t>ATT065.0</t>
  </si>
  <si>
    <t>ATT090.0</t>
  </si>
  <si>
    <t>APP011.A</t>
  </si>
  <si>
    <t>ATA016.0</t>
  </si>
  <si>
    <t>KSR024.0</t>
  </si>
  <si>
    <t>ATT076.0</t>
  </si>
  <si>
    <t>ATA015.0</t>
  </si>
  <si>
    <t>DSY001.0</t>
  </si>
  <si>
    <t>Disney</t>
  </si>
  <si>
    <t>KSE000.C</t>
  </si>
  <si>
    <t>ATA006.0</t>
  </si>
  <si>
    <t>KSR025.0</t>
  </si>
  <si>
    <t>HDP075.0</t>
  </si>
  <si>
    <t>EQX013.A</t>
  </si>
  <si>
    <t>ATT078.0</t>
  </si>
  <si>
    <t>ATA005.0</t>
  </si>
  <si>
    <t>HOM096.0</t>
  </si>
  <si>
    <t>MER001.0</t>
  </si>
  <si>
    <t>Macerich</t>
  </si>
  <si>
    <t>ATT086.0</t>
  </si>
  <si>
    <t>MER003.0</t>
  </si>
  <si>
    <t>HDP018.0</t>
  </si>
  <si>
    <t>ATT046.0</t>
  </si>
  <si>
    <t>ATT056.0</t>
  </si>
  <si>
    <t>ATA008.0</t>
  </si>
  <si>
    <t>ADB03</t>
  </si>
  <si>
    <t>Adobe</t>
  </si>
  <si>
    <t>ATT049.0</t>
  </si>
  <si>
    <t>HDP25</t>
  </si>
  <si>
    <t>HDD066.0</t>
  </si>
  <si>
    <t>KSR035.0</t>
  </si>
  <si>
    <t>POR000.0</t>
  </si>
  <si>
    <t>Porite</t>
  </si>
  <si>
    <t>USD000.0</t>
  </si>
  <si>
    <t>University of San Diego</t>
  </si>
  <si>
    <t>HOM085.0</t>
  </si>
  <si>
    <t>FLX000.0</t>
  </si>
  <si>
    <t>Flextronics</t>
  </si>
  <si>
    <t>IKA005.0</t>
  </si>
  <si>
    <t>IKEA</t>
  </si>
  <si>
    <t>ILM001.0</t>
  </si>
  <si>
    <t>Illumina</t>
  </si>
  <si>
    <t>HDP040.0</t>
  </si>
  <si>
    <t>SMC000.0</t>
  </si>
  <si>
    <t>HDP036.0</t>
  </si>
  <si>
    <t>RED000.F</t>
  </si>
  <si>
    <t>PHC003.0</t>
  </si>
  <si>
    <t>Prime Healthcare</t>
  </si>
  <si>
    <t>PHS010.0</t>
  </si>
  <si>
    <t>Partners Healthcare Spaulding Rehab</t>
  </si>
  <si>
    <t>KSR013.0</t>
  </si>
  <si>
    <t>HDP037.0</t>
  </si>
  <si>
    <t>HDP012.0</t>
  </si>
  <si>
    <t>HDP019.0</t>
  </si>
  <si>
    <t>ATT079.0</t>
  </si>
  <si>
    <t>HDP033.0</t>
  </si>
  <si>
    <t>KSR019.0</t>
  </si>
  <si>
    <t>HDP015.0</t>
  </si>
  <si>
    <t>MER002.0</t>
  </si>
  <si>
    <t>HDD053.0</t>
  </si>
  <si>
    <t>ATT054.0</t>
  </si>
  <si>
    <t>HDP052.0</t>
  </si>
  <si>
    <t>ATA012.0</t>
  </si>
  <si>
    <t>HDP029.0</t>
  </si>
  <si>
    <t>MER004.0</t>
  </si>
  <si>
    <t>HDD015.0</t>
  </si>
  <si>
    <t>ATA017.0</t>
  </si>
  <si>
    <t>COX000.0</t>
  </si>
  <si>
    <t>STP04</t>
  </si>
  <si>
    <t>Staples Inc.</t>
  </si>
  <si>
    <t>GGL00</t>
  </si>
  <si>
    <t>Google</t>
  </si>
  <si>
    <t>CTC011.0</t>
  </si>
  <si>
    <t>ATT21</t>
  </si>
  <si>
    <t>HOM083.0</t>
  </si>
  <si>
    <t>BLD002.0</t>
  </si>
  <si>
    <t>BLM000.2</t>
  </si>
  <si>
    <t>Bloom Energy</t>
  </si>
  <si>
    <t>HOM50</t>
  </si>
  <si>
    <t>HLD01</t>
  </si>
  <si>
    <t>Ahold</t>
  </si>
  <si>
    <t>KSR051.0</t>
  </si>
  <si>
    <t>HOM12</t>
  </si>
  <si>
    <t>HDP163.0</t>
  </si>
  <si>
    <t>OSK00</t>
  </si>
  <si>
    <t>Osaka Market</t>
  </si>
  <si>
    <t>IIV000.B</t>
  </si>
  <si>
    <t>HOM52</t>
  </si>
  <si>
    <t>ATT092.0</t>
  </si>
  <si>
    <t>HOM37</t>
  </si>
  <si>
    <t>HDP007.B</t>
  </si>
  <si>
    <t>ATT085.0</t>
  </si>
  <si>
    <t>NTL01</t>
  </si>
  <si>
    <t>NTL00</t>
  </si>
  <si>
    <t>HDP024.0</t>
  </si>
  <si>
    <t>HOM19</t>
  </si>
  <si>
    <t>HDD00</t>
  </si>
  <si>
    <t>HDD70</t>
  </si>
  <si>
    <t>HOM61</t>
  </si>
  <si>
    <t>LNK01</t>
  </si>
  <si>
    <t>LinkedIn</t>
  </si>
  <si>
    <t>HOM00</t>
  </si>
  <si>
    <t>HDD21</t>
  </si>
  <si>
    <t>ATA011.0</t>
  </si>
  <si>
    <t>HOM39</t>
  </si>
  <si>
    <t>HOM26</t>
  </si>
  <si>
    <t>HLD00</t>
  </si>
  <si>
    <t>KSR057.0</t>
  </si>
  <si>
    <t>ATA009.0</t>
  </si>
  <si>
    <t>ATA02</t>
  </si>
  <si>
    <t>ATT37</t>
  </si>
  <si>
    <t>HDP041.0</t>
  </si>
  <si>
    <t>HOM13</t>
  </si>
  <si>
    <t>WIL00</t>
  </si>
  <si>
    <t>Willams-Sonoma</t>
  </si>
  <si>
    <t>MDC00</t>
  </si>
  <si>
    <t>APP08</t>
  </si>
  <si>
    <t>PHC01</t>
  </si>
  <si>
    <t>HOM30</t>
  </si>
  <si>
    <t>HOM70</t>
  </si>
  <si>
    <t>EBY12</t>
  </si>
  <si>
    <t>eBay Inc.</t>
  </si>
  <si>
    <t>EBY04</t>
  </si>
  <si>
    <t>TGT01</t>
  </si>
  <si>
    <t>Target</t>
  </si>
  <si>
    <t>HDD25</t>
  </si>
  <si>
    <t>HDP042.0</t>
  </si>
  <si>
    <t>APP03</t>
  </si>
  <si>
    <t>HDP030.0</t>
  </si>
  <si>
    <t>URB00</t>
  </si>
  <si>
    <t>Urban Outfitters</t>
  </si>
  <si>
    <t>MGN00</t>
  </si>
  <si>
    <t>Morgan Stanley</t>
  </si>
  <si>
    <t>EQX001.A</t>
  </si>
  <si>
    <t>EBY08</t>
  </si>
  <si>
    <t>SVS00</t>
  </si>
  <si>
    <t>Savvis</t>
  </si>
  <si>
    <t>EQX005.0</t>
  </si>
  <si>
    <t>ATT057.0</t>
  </si>
  <si>
    <t>WAS00</t>
  </si>
  <si>
    <t>Washington Gas</t>
  </si>
  <si>
    <t>ATA004.0</t>
  </si>
  <si>
    <t>ATT32</t>
  </si>
  <si>
    <t>ROL02</t>
  </si>
  <si>
    <t>Roll Global</t>
  </si>
  <si>
    <t>HOM14</t>
  </si>
  <si>
    <t>HOM25</t>
  </si>
  <si>
    <t>WAL34</t>
  </si>
  <si>
    <t>Walmart</t>
  </si>
  <si>
    <t>ATT25</t>
  </si>
  <si>
    <t>SCC01</t>
  </si>
  <si>
    <t>County of Santa Clara</t>
  </si>
  <si>
    <t>HOM03</t>
  </si>
  <si>
    <t>JPM00</t>
  </si>
  <si>
    <t>JP Morgan</t>
  </si>
  <si>
    <t>PHC004.0</t>
  </si>
  <si>
    <t>HDD049.0</t>
  </si>
  <si>
    <t>ATT067.0</t>
  </si>
  <si>
    <t>KSR074.A</t>
  </si>
  <si>
    <t>HOM55</t>
  </si>
  <si>
    <t>DFM00</t>
  </si>
  <si>
    <t>SBK00</t>
  </si>
  <si>
    <t>Starbucks</t>
  </si>
  <si>
    <t>WMT16</t>
  </si>
  <si>
    <t>HOM40</t>
  </si>
  <si>
    <t>WAL23</t>
  </si>
  <si>
    <t>NOK00</t>
  </si>
  <si>
    <t>Nokia</t>
  </si>
  <si>
    <t>HDP094.0</t>
  </si>
  <si>
    <t>KSR034.0</t>
  </si>
  <si>
    <t>KSR73</t>
  </si>
  <si>
    <t>HOM04</t>
  </si>
  <si>
    <t>RED000.P</t>
  </si>
  <si>
    <t>BLD000.0</t>
  </si>
  <si>
    <t>SCE00</t>
  </si>
  <si>
    <t>Southern California Edison</t>
  </si>
  <si>
    <t>HDP149.0</t>
  </si>
  <si>
    <t>ATT064.0</t>
  </si>
  <si>
    <t>ATT99</t>
  </si>
  <si>
    <t>KST000.A</t>
  </si>
  <si>
    <t>Keysight</t>
  </si>
  <si>
    <t>ATA010.0</t>
  </si>
  <si>
    <t>KEI00</t>
  </si>
  <si>
    <t>Keio University</t>
  </si>
  <si>
    <t>HOM23</t>
  </si>
  <si>
    <t>WAL36</t>
  </si>
  <si>
    <t>WAL39</t>
  </si>
  <si>
    <t>HDD56</t>
  </si>
  <si>
    <t>HOM54</t>
  </si>
  <si>
    <t>EQX015.B</t>
  </si>
  <si>
    <t>PNS00</t>
  </si>
  <si>
    <t>Panasonic Avionics</t>
  </si>
  <si>
    <t>HDD051.0</t>
  </si>
  <si>
    <t>KSR69</t>
  </si>
  <si>
    <t>BLM00</t>
  </si>
  <si>
    <t>HOM41</t>
  </si>
  <si>
    <t>STH00</t>
  </si>
  <si>
    <t>Sutter Health</t>
  </si>
  <si>
    <t>WAL38</t>
  </si>
  <si>
    <t>HOM59</t>
  </si>
  <si>
    <t>HYT00</t>
  </si>
  <si>
    <t>Hyatt</t>
  </si>
  <si>
    <t>HOM06</t>
  </si>
  <si>
    <t>HDD71</t>
  </si>
  <si>
    <t>WAL32</t>
  </si>
  <si>
    <t>KSR018.B</t>
  </si>
  <si>
    <t>BRK02</t>
  </si>
  <si>
    <t>ATT31</t>
  </si>
  <si>
    <t>ROL08</t>
  </si>
  <si>
    <t>CYP1</t>
  </si>
  <si>
    <t>Cypress Semiconductor</t>
  </si>
  <si>
    <t>HDP109.0</t>
  </si>
  <si>
    <t>WAL76</t>
  </si>
  <si>
    <t>ATT075.0</t>
  </si>
  <si>
    <t>HDP023.0</t>
  </si>
  <si>
    <t>ATT35</t>
  </si>
  <si>
    <t>HDD76</t>
  </si>
  <si>
    <t>YAH00</t>
  </si>
  <si>
    <t>Yahoo</t>
  </si>
  <si>
    <t>BMR000.0</t>
  </si>
  <si>
    <t>BioMed Realty</t>
  </si>
  <si>
    <t>VZN03</t>
  </si>
  <si>
    <t>Verizon</t>
  </si>
  <si>
    <t>HOM42</t>
  </si>
  <si>
    <t>WAL24</t>
  </si>
  <si>
    <t>ATT30</t>
  </si>
  <si>
    <t>WAL33</t>
  </si>
  <si>
    <t>HDP115.0</t>
  </si>
  <si>
    <t>HDD31</t>
  </si>
  <si>
    <t>RED02</t>
  </si>
  <si>
    <t>STR00</t>
  </si>
  <si>
    <t>Sutter Home Winery</t>
  </si>
  <si>
    <t>ROL07</t>
  </si>
  <si>
    <t>HOM32</t>
  </si>
  <si>
    <t>IKA01</t>
  </si>
  <si>
    <t>ATT26</t>
  </si>
  <si>
    <t>HMH000.0</t>
  </si>
  <si>
    <t>Hoag Memorial Hospital Presbyterian</t>
  </si>
  <si>
    <t>HOM57</t>
  </si>
  <si>
    <t>HOM64</t>
  </si>
  <si>
    <t>FDX01</t>
  </si>
  <si>
    <t>WMT51</t>
  </si>
  <si>
    <t>GEN004.0</t>
  </si>
  <si>
    <t>Genentech</t>
  </si>
  <si>
    <t>ROL04</t>
  </si>
  <si>
    <t>MER005.0</t>
  </si>
  <si>
    <t>VRS00</t>
  </si>
  <si>
    <t>Americold</t>
  </si>
  <si>
    <t>ATT00</t>
  </si>
  <si>
    <t>HOM35</t>
  </si>
  <si>
    <t>IBM00</t>
  </si>
  <si>
    <t>IBM</t>
  </si>
  <si>
    <t>HOM24</t>
  </si>
  <si>
    <t>ATT15</t>
  </si>
  <si>
    <t>HOM38</t>
  </si>
  <si>
    <t>HOM51</t>
  </si>
  <si>
    <t>WAL42</t>
  </si>
  <si>
    <t>ATT16</t>
  </si>
  <si>
    <t>AHM001.0</t>
  </si>
  <si>
    <t>Anaheim Ducks</t>
  </si>
  <si>
    <t>WAL26</t>
  </si>
  <si>
    <t>HDD064.0</t>
  </si>
  <si>
    <t>HOM46</t>
  </si>
  <si>
    <t>WAL9</t>
  </si>
  <si>
    <t>HDP016.0</t>
  </si>
  <si>
    <t>KSR68</t>
  </si>
  <si>
    <t>APP0</t>
  </si>
  <si>
    <t>PAC00</t>
  </si>
  <si>
    <t>Pacific Cheese</t>
  </si>
  <si>
    <t>ATT24</t>
  </si>
  <si>
    <t>TGT00</t>
  </si>
  <si>
    <t>ROL06</t>
  </si>
  <si>
    <t>HDP034.0</t>
  </si>
  <si>
    <t>HOM48</t>
  </si>
  <si>
    <t>ATT069.0</t>
  </si>
  <si>
    <t>APP05</t>
  </si>
  <si>
    <t>MDC001.A</t>
  </si>
  <si>
    <t>ATT14</t>
  </si>
  <si>
    <t>ATT17</t>
  </si>
  <si>
    <t>HDD014.0</t>
  </si>
  <si>
    <t>NTL003.B</t>
  </si>
  <si>
    <t>OWE00</t>
  </si>
  <si>
    <t>Owens Corning</t>
  </si>
  <si>
    <t>HDD55</t>
  </si>
  <si>
    <t>ATT41</t>
  </si>
  <si>
    <t>KSR70</t>
  </si>
  <si>
    <t>SFB01</t>
  </si>
  <si>
    <t>SoftBank</t>
  </si>
  <si>
    <t>DGR000.A</t>
  </si>
  <si>
    <t>Digital Realty Trust</t>
  </si>
  <si>
    <t>ATT39</t>
  </si>
  <si>
    <t>HOM73</t>
  </si>
  <si>
    <t>MXM00</t>
  </si>
  <si>
    <t>Maxim Integrated</t>
  </si>
  <si>
    <t>VZN02</t>
  </si>
  <si>
    <t>HOM11</t>
  </si>
  <si>
    <t>WAL7</t>
  </si>
  <si>
    <t>LNK00</t>
  </si>
  <si>
    <t>SFW0</t>
  </si>
  <si>
    <t>Safeway</t>
  </si>
  <si>
    <t>HNS00</t>
  </si>
  <si>
    <t>Hines</t>
  </si>
  <si>
    <t>ATT27</t>
  </si>
  <si>
    <t>HOM10</t>
  </si>
  <si>
    <t>ADB02</t>
  </si>
  <si>
    <t>WMT59</t>
  </si>
  <si>
    <t>ATT066.0</t>
  </si>
  <si>
    <t>APP07</t>
  </si>
  <si>
    <t>ACT00</t>
  </si>
  <si>
    <t>AC Transit</t>
  </si>
  <si>
    <t>HOM77</t>
  </si>
  <si>
    <t>AEG00</t>
  </si>
  <si>
    <t>AEG - Staples Center</t>
  </si>
  <si>
    <t>SNL002.0</t>
  </si>
  <si>
    <t>Silverman &amp; Light</t>
  </si>
  <si>
    <t>ADB04</t>
  </si>
  <si>
    <t>RED00</t>
  </si>
  <si>
    <t>HDD092.0</t>
  </si>
  <si>
    <t>CMC00</t>
  </si>
  <si>
    <t>Comcast</t>
  </si>
  <si>
    <t>APP01</t>
  </si>
  <si>
    <t>PHC00</t>
  </si>
  <si>
    <t>EQX000.0</t>
  </si>
  <si>
    <t>WMT50</t>
  </si>
  <si>
    <t>LFT01</t>
  </si>
  <si>
    <t>Life Technologies</t>
  </si>
  <si>
    <t>IKA002.0</t>
  </si>
  <si>
    <t>HOM02</t>
  </si>
  <si>
    <t>JAJ00</t>
  </si>
  <si>
    <t>Johnson and Johnson</t>
  </si>
  <si>
    <t>ATT33</t>
  </si>
  <si>
    <t>ATT34</t>
  </si>
  <si>
    <t>JAJ01</t>
  </si>
  <si>
    <t>APP02</t>
  </si>
  <si>
    <t>AMZ00</t>
  </si>
  <si>
    <t>Amazon</t>
  </si>
  <si>
    <t>AHM00</t>
  </si>
  <si>
    <t>HOM081.0</t>
  </si>
  <si>
    <t>HDP112.0</t>
  </si>
  <si>
    <t>APP09</t>
  </si>
  <si>
    <t>EQX003.0</t>
  </si>
  <si>
    <t>WMT11</t>
  </si>
  <si>
    <t>CTC015.0</t>
  </si>
  <si>
    <t>EBY0</t>
  </si>
  <si>
    <t>WAL1</t>
  </si>
  <si>
    <t>COX01</t>
  </si>
  <si>
    <t>JSR000.0</t>
  </si>
  <si>
    <t>JSR Micro</t>
  </si>
  <si>
    <t>COK01</t>
  </si>
  <si>
    <t>Coca-Cola</t>
  </si>
  <si>
    <t>SCC00</t>
  </si>
  <si>
    <t>MAC02</t>
  </si>
  <si>
    <t>Macy's</t>
  </si>
  <si>
    <t>HDD65</t>
  </si>
  <si>
    <t>ATT19</t>
  </si>
  <si>
    <t>HDD083.0</t>
  </si>
  <si>
    <t>ATT074.0</t>
  </si>
  <si>
    <t>SFB00</t>
  </si>
  <si>
    <t>AGT001.0</t>
  </si>
  <si>
    <t>CTC009.0</t>
  </si>
  <si>
    <t>IKA008.0</t>
  </si>
  <si>
    <t>EBY13</t>
  </si>
  <si>
    <t>WAL8</t>
  </si>
  <si>
    <t>HDP147.0</t>
  </si>
  <si>
    <t>JMB00</t>
  </si>
  <si>
    <t>JMB Realty Corp.</t>
  </si>
  <si>
    <t>STR01</t>
  </si>
  <si>
    <t>WAL31</t>
  </si>
  <si>
    <t>GEN01</t>
  </si>
  <si>
    <t>ATT23</t>
  </si>
  <si>
    <t>INT00</t>
  </si>
  <si>
    <t>Intuit</t>
  </si>
  <si>
    <t>ATA014.0</t>
  </si>
  <si>
    <t>JPR00</t>
  </si>
  <si>
    <t>Juniper Networks</t>
  </si>
  <si>
    <t>ATT45</t>
  </si>
  <si>
    <t>HOM05</t>
  </si>
  <si>
    <t>LFT00</t>
  </si>
  <si>
    <t>WAL29</t>
  </si>
  <si>
    <t>WMT12</t>
  </si>
  <si>
    <t>HDD079.0</t>
  </si>
  <si>
    <t>HDP141.0</t>
  </si>
  <si>
    <t>HOM071.0</t>
  </si>
  <si>
    <t>ATT12</t>
  </si>
  <si>
    <t>LOK00</t>
  </si>
  <si>
    <t>Lockheed Martin</t>
  </si>
  <si>
    <t>ATT22</t>
  </si>
  <si>
    <t>HOM63</t>
  </si>
  <si>
    <t>LMD000.0</t>
  </si>
  <si>
    <t>L+M Development Partners</t>
  </si>
  <si>
    <t>BOA0</t>
  </si>
  <si>
    <t>Bank of America</t>
  </si>
  <si>
    <t>PGE00</t>
  </si>
  <si>
    <t>PG&amp;E</t>
  </si>
  <si>
    <t>EBY03</t>
  </si>
  <si>
    <t>HOM17</t>
  </si>
  <si>
    <t>HOM08</t>
  </si>
  <si>
    <t>KSR061.0</t>
  </si>
  <si>
    <t>HDD046.0</t>
  </si>
  <si>
    <t>WMT53</t>
  </si>
  <si>
    <t>RED01</t>
  </si>
  <si>
    <t>HDD044.0</t>
  </si>
  <si>
    <t>TLM00</t>
  </si>
  <si>
    <t>TaylorMade-adidas</t>
  </si>
  <si>
    <t>ATT97</t>
  </si>
  <si>
    <t>WAL30</t>
  </si>
  <si>
    <t>KSR72</t>
  </si>
  <si>
    <t>ATT053.0</t>
  </si>
  <si>
    <t>SCC02</t>
  </si>
  <si>
    <t>HOM89</t>
  </si>
  <si>
    <t>LIU000.0</t>
  </si>
  <si>
    <t>Long Island University</t>
  </si>
  <si>
    <t>CTC010.0</t>
  </si>
  <si>
    <t>ATT058.0</t>
  </si>
  <si>
    <t>ATA013.0</t>
  </si>
  <si>
    <t>ROL00</t>
  </si>
  <si>
    <t>KSR055.0</t>
  </si>
  <si>
    <t>EQX010.A</t>
  </si>
  <si>
    <t>VZN01</t>
  </si>
  <si>
    <t>BRK01</t>
  </si>
  <si>
    <t>WAL41</t>
  </si>
  <si>
    <t>HOM34</t>
  </si>
  <si>
    <t>CMC01</t>
  </si>
  <si>
    <t>PXR00</t>
  </si>
  <si>
    <t>Pixar</t>
  </si>
  <si>
    <t>CSS00</t>
  </si>
  <si>
    <t>Credit Suisse</t>
  </si>
  <si>
    <t>RED03</t>
  </si>
  <si>
    <t>WAL19</t>
  </si>
  <si>
    <t>WAL21</t>
  </si>
  <si>
    <t>WAL27</t>
  </si>
  <si>
    <t>ATA003.0</t>
  </si>
  <si>
    <t>HOM27</t>
  </si>
  <si>
    <t>FTC000.0</t>
  </si>
  <si>
    <t>Frontier Communications</t>
  </si>
  <si>
    <t>HOM18</t>
  </si>
  <si>
    <t>HON00</t>
  </si>
  <si>
    <t>Honda</t>
  </si>
  <si>
    <t>ATT38</t>
  </si>
  <si>
    <t>HOM29</t>
  </si>
  <si>
    <t>ATT98</t>
  </si>
  <si>
    <t>HOM56</t>
  </si>
  <si>
    <t>BHS00</t>
  </si>
  <si>
    <t>Baker Hughes</t>
  </si>
  <si>
    <t>HOM58</t>
  </si>
  <si>
    <t>HOM49</t>
  </si>
  <si>
    <t>HDD10</t>
  </si>
  <si>
    <t>APP04</t>
  </si>
  <si>
    <t>HOM20</t>
  </si>
  <si>
    <t>HDP099.0</t>
  </si>
  <si>
    <t>HOM21</t>
  </si>
  <si>
    <t>WMT13</t>
  </si>
  <si>
    <t>HDP043.0</t>
  </si>
  <si>
    <t>WAL0</t>
  </si>
  <si>
    <t>MGN001.0</t>
  </si>
  <si>
    <t>CLT03</t>
  </si>
  <si>
    <t>Caltech</t>
  </si>
  <si>
    <t>HDD016.0</t>
  </si>
  <si>
    <t>HOM22</t>
  </si>
  <si>
    <t>HOM47</t>
  </si>
  <si>
    <t>EQX012.0</t>
  </si>
  <si>
    <t>HOM44</t>
  </si>
  <si>
    <t>HOM079.0</t>
  </si>
  <si>
    <t>HDD94</t>
  </si>
  <si>
    <t>WAL22</t>
  </si>
  <si>
    <t>ATT044.0</t>
  </si>
  <si>
    <t>KLG00</t>
  </si>
  <si>
    <t>Kellogg Co.</t>
  </si>
  <si>
    <t>HDD22</t>
  </si>
  <si>
    <t>WMT20</t>
  </si>
  <si>
    <t>DRM00</t>
  </si>
  <si>
    <t>Dreamworks Animation</t>
  </si>
  <si>
    <t>ATT068.0</t>
  </si>
  <si>
    <t>HOM65</t>
  </si>
  <si>
    <t>WMT028.0</t>
  </si>
  <si>
    <t>ATT040.0</t>
  </si>
  <si>
    <t>WAL4</t>
  </si>
  <si>
    <t>HDD068.0</t>
  </si>
  <si>
    <t>WMT07</t>
  </si>
  <si>
    <t>WAL50</t>
  </si>
  <si>
    <t>HDD26</t>
  </si>
  <si>
    <t>HDD27</t>
  </si>
  <si>
    <t>NTL003.A</t>
  </si>
  <si>
    <t>HDD05</t>
  </si>
  <si>
    <t>GEN005.0</t>
  </si>
  <si>
    <t>WMT10</t>
  </si>
  <si>
    <t>SCC03</t>
  </si>
  <si>
    <t>WMT15</t>
  </si>
  <si>
    <t>HOM36</t>
  </si>
  <si>
    <t>DGR000.B</t>
  </si>
  <si>
    <t>ATT055.0</t>
  </si>
  <si>
    <t>CST001.A</t>
  </si>
  <si>
    <t>CoreSite</t>
  </si>
  <si>
    <t>HDD80</t>
  </si>
  <si>
    <t>HOM76</t>
  </si>
  <si>
    <t>HDD75</t>
  </si>
  <si>
    <t>ROL03</t>
  </si>
  <si>
    <t>CTC000.0</t>
  </si>
  <si>
    <t>CEN000.0</t>
  </si>
  <si>
    <t>Constellation Energy</t>
  </si>
  <si>
    <t>WMT58</t>
  </si>
  <si>
    <t>HDP22</t>
  </si>
  <si>
    <t>HDD42</t>
  </si>
  <si>
    <t>HDD90</t>
  </si>
  <si>
    <t>BLM001.0</t>
  </si>
  <si>
    <t>JBC000.0</t>
  </si>
  <si>
    <t>Jabil</t>
  </si>
  <si>
    <t>HDP091.0</t>
  </si>
  <si>
    <t>ATT95</t>
  </si>
  <si>
    <t>FDX006.0</t>
  </si>
  <si>
    <t>ATT96</t>
  </si>
  <si>
    <t>BGE01</t>
  </si>
  <si>
    <t>Baltimore Gas &amp; Electric</t>
  </si>
  <si>
    <t>NTL002.A</t>
  </si>
  <si>
    <t>CST001.B</t>
  </si>
  <si>
    <t>PHC002.0</t>
  </si>
  <si>
    <t>HDD47</t>
  </si>
  <si>
    <t>HDD09</t>
  </si>
  <si>
    <t>HOM45</t>
  </si>
  <si>
    <t>HDD95</t>
  </si>
  <si>
    <t>HDD29</t>
  </si>
  <si>
    <t>NAS00</t>
  </si>
  <si>
    <t>NASA</t>
  </si>
  <si>
    <t>WAL35</t>
  </si>
  <si>
    <t>HDD17</t>
  </si>
  <si>
    <t>GEN00</t>
  </si>
  <si>
    <t>WMT21</t>
  </si>
  <si>
    <t>ATT94</t>
  </si>
  <si>
    <t>HDD30</t>
  </si>
  <si>
    <t>HOM68</t>
  </si>
  <si>
    <t>KSR67</t>
  </si>
  <si>
    <t>HDP14</t>
  </si>
  <si>
    <t>HDD081.0</t>
  </si>
  <si>
    <t>WMT043.0</t>
  </si>
  <si>
    <t>HOM15</t>
  </si>
  <si>
    <t>RGP000.0</t>
  </si>
  <si>
    <t>Regeneron Pharmaceuticals Inc</t>
  </si>
  <si>
    <t>WAL10</t>
  </si>
  <si>
    <t>SVO000.0</t>
  </si>
  <si>
    <t>SevOne</t>
  </si>
  <si>
    <t>HOM01</t>
  </si>
  <si>
    <t>WMT014.0</t>
  </si>
  <si>
    <t>HOM78</t>
  </si>
  <si>
    <t>CTC014.0</t>
  </si>
  <si>
    <t>ATT084.0</t>
  </si>
  <si>
    <t>ATT060.0</t>
  </si>
  <si>
    <t>RED000.N</t>
  </si>
  <si>
    <t>EBY10</t>
  </si>
  <si>
    <t>HOM60</t>
  </si>
  <si>
    <t>HOM43</t>
  </si>
  <si>
    <t>FDX010.0</t>
  </si>
  <si>
    <t>APP06</t>
  </si>
  <si>
    <t>HDP01</t>
  </si>
  <si>
    <t>RED000.M</t>
  </si>
  <si>
    <t>HOM82</t>
  </si>
  <si>
    <t>CLT004.0</t>
  </si>
  <si>
    <t>ROL01</t>
  </si>
  <si>
    <t>HDD03</t>
  </si>
  <si>
    <t>CLT006.0</t>
  </si>
  <si>
    <t>HOM31</t>
  </si>
  <si>
    <t>ORC00</t>
  </si>
  <si>
    <t>Oracle</t>
  </si>
  <si>
    <t>LGR000.0</t>
  </si>
  <si>
    <t>Legrand</t>
  </si>
  <si>
    <t>ATA00</t>
  </si>
  <si>
    <t>HDP032.0</t>
  </si>
  <si>
    <t>EBY11</t>
  </si>
  <si>
    <t>IKA004.0</t>
  </si>
  <si>
    <t>HDD12</t>
  </si>
  <si>
    <t>WAL47</t>
  </si>
  <si>
    <t>HDD72</t>
  </si>
  <si>
    <t>HDD84</t>
  </si>
  <si>
    <t>WMT045.0</t>
  </si>
  <si>
    <t>ATT091.0</t>
  </si>
  <si>
    <t>HOM62</t>
  </si>
  <si>
    <t>HDD96</t>
  </si>
  <si>
    <t>HDP13</t>
  </si>
  <si>
    <t>HOM72</t>
  </si>
  <si>
    <t>WMT55</t>
  </si>
  <si>
    <t>HOM86</t>
  </si>
  <si>
    <t>WMT09</t>
  </si>
  <si>
    <t>WMT18</t>
  </si>
  <si>
    <t>RED000.L</t>
  </si>
  <si>
    <t>HDP035.0</t>
  </si>
  <si>
    <t>HOM91</t>
  </si>
  <si>
    <t>KST000.B</t>
  </si>
  <si>
    <t>HOM33</t>
  </si>
  <si>
    <t>EQX011.A</t>
  </si>
  <si>
    <t>FDX009.0</t>
  </si>
  <si>
    <t>HDD024.0</t>
  </si>
  <si>
    <t>HDD074.0</t>
  </si>
  <si>
    <t>ATT071.0</t>
  </si>
  <si>
    <t>HDD045.0</t>
  </si>
  <si>
    <t>WAL43</t>
  </si>
  <si>
    <t>WMT35</t>
  </si>
  <si>
    <t>ATT088.0</t>
  </si>
  <si>
    <t>HDD062.0</t>
  </si>
  <si>
    <t>EBY06</t>
  </si>
  <si>
    <t>ATT62</t>
  </si>
  <si>
    <t>WMT08</t>
  </si>
  <si>
    <t>PHC006.0</t>
  </si>
  <si>
    <t>HDD028.0</t>
  </si>
  <si>
    <t>HDD078.0</t>
  </si>
  <si>
    <t>HOM066.0</t>
  </si>
  <si>
    <t>ATT43</t>
  </si>
  <si>
    <t>HDP007.A</t>
  </si>
  <si>
    <t>HOM09</t>
  </si>
  <si>
    <t>WMT54</t>
  </si>
  <si>
    <t>HDD087.0</t>
  </si>
  <si>
    <t>WMT56</t>
  </si>
  <si>
    <t>HOM16</t>
  </si>
  <si>
    <t>GEN02</t>
  </si>
  <si>
    <t>WMT57</t>
  </si>
  <si>
    <t>BRK00</t>
  </si>
  <si>
    <t>HDD059.0</t>
  </si>
  <si>
    <t>HDD063.0</t>
  </si>
  <si>
    <t>MDC001.B</t>
  </si>
  <si>
    <t>ATT059.0</t>
  </si>
  <si>
    <t>BDB01</t>
  </si>
  <si>
    <t>BD Biosciences</t>
  </si>
  <si>
    <t>HDD06</t>
  </si>
  <si>
    <t>ATA01</t>
  </si>
  <si>
    <t>HDD18</t>
  </si>
  <si>
    <t>HOM74</t>
  </si>
  <si>
    <t>WMT52</t>
  </si>
  <si>
    <t>HDD043.0</t>
  </si>
  <si>
    <t>TLR000.B</t>
  </si>
  <si>
    <t>FRK00</t>
  </si>
  <si>
    <t>Franklin Templeton</t>
  </si>
  <si>
    <t>WAL44</t>
  </si>
  <si>
    <t>HDP021.0</t>
  </si>
  <si>
    <t>WMT042.0</t>
  </si>
  <si>
    <t>NYC00</t>
  </si>
  <si>
    <t>New York City Hall</t>
  </si>
  <si>
    <t>WMT044.0</t>
  </si>
  <si>
    <t>WAL77</t>
  </si>
  <si>
    <t>HDP006.0</t>
  </si>
  <si>
    <t>HDD085.0</t>
  </si>
  <si>
    <t>HDD093.0</t>
  </si>
  <si>
    <t>ADP003.0</t>
  </si>
  <si>
    <t>ADP</t>
  </si>
  <si>
    <t>HDP101.0</t>
  </si>
  <si>
    <t>KSR71</t>
  </si>
  <si>
    <t>CNC000.0</t>
  </si>
  <si>
    <t>Connecticut College</t>
  </si>
  <si>
    <t>FLX001.0</t>
  </si>
  <si>
    <t>ATT083.0</t>
  </si>
  <si>
    <t>ATT051.0</t>
  </si>
  <si>
    <t>KST000.C</t>
  </si>
  <si>
    <t>NTL002.B</t>
  </si>
  <si>
    <t>HDP009.0</t>
  </si>
  <si>
    <t>APP10</t>
  </si>
  <si>
    <t>DTV002.0</t>
  </si>
  <si>
    <t>DIRECTV</t>
  </si>
  <si>
    <t>CLT005.0</t>
  </si>
  <si>
    <t>HDD99</t>
  </si>
  <si>
    <t>KLG01</t>
  </si>
  <si>
    <t>KSR064.0</t>
  </si>
  <si>
    <t>HDP011.0</t>
  </si>
  <si>
    <t>IKA003.0</t>
  </si>
  <si>
    <t>SQL Sites</t>
  </si>
  <si>
    <t>Sites Dropdown</t>
  </si>
  <si>
    <t>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</si>
</sst>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mm/dd/yy;@"/>
    <numFmt numFmtId="165" formatCode="_(* #,##0_);_(* \(#,##0\);_(* &quot;-&quot;??_);_(@_)"/>
    <numFmt numFmtId="166" formatCode="0.0\x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color rgb="FF000000"/>
      <name val="Segoe UI"/>
      <family val="2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2" xfId="0" applyBorder="1"/>
    <xf numFmtId="0" fontId="2" fillId="2" borderId="2" xfId="0" applyFont="1" applyFill="1" applyBorder="1"/>
    <xf numFmtId="0" fontId="2" fillId="3" borderId="2" xfId="0" applyFont="1" applyFill="1" applyBorder="1"/>
    <xf numFmtId="0" fontId="2" fillId="4" borderId="2" xfId="0" applyFont="1" applyFill="1" applyBorder="1"/>
    <xf numFmtId="0" fontId="3" fillId="5" borderId="2" xfId="0" applyFont="1" applyFill="1" applyBorder="1"/>
    <xf numFmtId="0" fontId="2" fillId="5" borderId="2" xfId="0" applyFont="1" applyFill="1" applyBorder="1"/>
    <xf numFmtId="0" fontId="0" fillId="0" borderId="0" xfId="0" applyBorder="1"/>
    <xf numFmtId="0" fontId="0" fillId="0" borderId="0" xfId="0" applyAlignment="1">
      <alignment horizontal="right"/>
    </xf>
    <xf numFmtId="0" fontId="0" fillId="0" borderId="0" xfId="0" applyFill="1" applyBorder="1"/>
    <xf numFmtId="0" fontId="2" fillId="9" borderId="2" xfId="0" applyFont="1" applyFill="1" applyBorder="1"/>
    <xf numFmtId="0" fontId="3" fillId="9" borderId="2" xfId="0" applyFont="1" applyFill="1" applyBorder="1"/>
    <xf numFmtId="0" fontId="0" fillId="0" borderId="0" xfId="0" applyBorder="1" applyAlignment="1">
      <alignment horizontal="right"/>
    </xf>
    <xf numFmtId="165" fontId="0" fillId="0" borderId="0" xfId="0" applyNumberFormat="1" applyFont="1"/>
    <xf numFmtId="0" fontId="0" fillId="0" borderId="0" xfId="0" applyNumberFormat="1"/>
    <xf numFmtId="0" fontId="0" fillId="0" borderId="0" xfId="0" applyFill="1"/>
    <xf numFmtId="0" fontId="4" fillId="10" borderId="2" xfId="0" applyFont="1" applyFill="1" applyBorder="1"/>
    <xf numFmtId="0" fontId="0" fillId="0" borderId="0" xfId="0" applyFill="1" applyBorder="1" applyAlignment="1">
      <alignment horizontal="right"/>
    </xf>
    <xf numFmtId="0" fontId="0" fillId="0" borderId="1" xfId="0" applyBorder="1" applyProtection="1">
      <protection locked="0"/>
    </xf>
    <xf numFmtId="0" fontId="0" fillId="7" borderId="1" xfId="0" applyFill="1" applyBorder="1" applyProtection="1">
      <protection locked="0"/>
    </xf>
    <xf numFmtId="0" fontId="0" fillId="7" borderId="1" xfId="0" applyNumberFormat="1" applyFill="1" applyBorder="1" applyProtection="1">
      <protection locked="0"/>
    </xf>
    <xf numFmtId="9" fontId="0" fillId="6" borderId="1" xfId="0" applyNumberFormat="1" applyFill="1" applyBorder="1" applyProtection="1">
      <protection locked="0"/>
    </xf>
    <xf numFmtId="0" fontId="0" fillId="6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Protection="1">
      <protection locked="0"/>
    </xf>
    <xf numFmtId="165" fontId="0" fillId="0" borderId="0" xfId="1" applyNumberFormat="1" applyFont="1" applyProtection="1"/>
    <xf numFmtId="166" fontId="0" fillId="0" borderId="0" xfId="0" applyNumberFormat="1"/>
    <xf numFmtId="165" fontId="0" fillId="6" borderId="1" xfId="1" applyNumberFormat="1" applyFont="1" applyFill="1" applyBorder="1" applyProtection="1">
      <protection locked="0"/>
    </xf>
    <xf numFmtId="0" fontId="0" fillId="0" borderId="0" xfId="0" applyAlignment="1">
      <alignment horizontal="left" indent="1"/>
    </xf>
    <xf numFmtId="164" fontId="0" fillId="6" borderId="1" xfId="0" applyNumberFormat="1" applyFill="1" applyBorder="1" applyAlignment="1" applyProtection="1">
      <alignment shrinkToFit="1"/>
      <protection locked="0"/>
    </xf>
    <xf numFmtId="9" fontId="0" fillId="8" borderId="1" xfId="0" applyNumberFormat="1" applyFill="1" applyBorder="1" applyProtection="1">
      <protection locked="0"/>
    </xf>
    <xf numFmtId="0" fontId="0" fillId="8" borderId="1" xfId="0" applyNumberFormat="1" applyFill="1" applyBorder="1" applyProtection="1">
      <protection locked="0"/>
    </xf>
  </cellXfs>
  <cellStyles count="2">
    <cellStyle name="Comma" xfId="1" builtinId="3"/>
    <cellStyle name="Normal" xfId="0" builtinId="0"/>
  </cellStyles>
  <dxfs count="36"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strike/>
        <color theme="1" tint="0.499984740745262"/>
      </font>
      <fill>
        <patternFill>
          <bgColor theme="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strike/>
        <color theme="1" tint="0.499984740745262"/>
      </font>
      <fill>
        <patternFill>
          <bgColor theme="2"/>
        </patternFill>
      </fill>
    </dxf>
    <dxf>
      <font>
        <strike/>
        <color theme="1" tint="0.499984740745262"/>
      </font>
      <fill>
        <patternFill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_);_(* \(#,##0\);_(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_(* #,##0_);_(* \(#,##0\);_(* &quot;-&quot;??_);_(@_)"/>
      <fill>
        <patternFill patternType="none">
          <fgColor rgb="FF000000"/>
          <bgColor auto="1"/>
        </patternFill>
      </fill>
      <protection locked="1" hidden="0"/>
    </dxf>
    <dxf>
      <numFmt numFmtId="165" formatCode="_(* #,##0_);_(* \(#,##0\);_(* &quot;-&quot;??_);_(@_)"/>
      <protection locked="1" hidden="0"/>
    </dxf>
    <dxf>
      <numFmt numFmtId="165" formatCode="_(* #,##0_);_(* \(#,##0\);_(* &quot;-&quot;??_);_(@_)"/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_(* #,##0_);_(* \(#,##0\);_(* &quot;-&quot;??_);_(@_)"/>
      <protection locked="1" hidden="0"/>
    </dxf>
    <dxf>
      <protection locked="0" hidden="0"/>
    </dxf>
    <dxf>
      <protection locked="0" hidden="0"/>
    </dxf>
    <dxf>
      <numFmt numFmtId="0" formatCode="General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>
          <bgColor theme="8" tint="0.79998168889431442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</border>
    </dxf>
    <dxf>
      <fill>
        <patternFill>
          <bgColor theme="4" tint="0.79998168889431442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</border>
    </dxf>
    <dxf>
      <fill>
        <patternFill patternType="none">
          <bgColor auto="1"/>
        </patternFill>
      </fill>
      <border diagonalUp="0" diagonalDown="0">
        <left/>
        <right style="medium">
          <color auto="1"/>
        </right>
        <top/>
        <bottom/>
        <vertical/>
        <horizontal/>
      </border>
    </dxf>
  </dxfs>
  <tableStyles count="1" defaultTableStyle="TableStyleMedium2" defaultPivotStyle="PivotStyleLight16">
    <tableStyle name="Inputs" pivot="0" count="3">
      <tableStyleElement type="firstColumn" dxfId="35"/>
      <tableStyleElement type="firstRowStripe" dxfId="34"/>
      <tableStyleElement type="secondRowStripe" dxfId="3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croll" dx="26" fmlaLink="$C$8" horiz="1" max="30" min="1" page="5"/>
</file>

<file path=xl/ctrlProps/ctrlProp2.xml><?xml version="1.0" encoding="utf-8"?>
<formControlPr xmlns="http://schemas.microsoft.com/office/spreadsheetml/2009/9/main" objectType="Scroll" dx="26" fmlaLink="$C$6" horiz="1" max="5" min="1" page="0"/>
</file>

<file path=xl/ctrlProps/ctrlProp3.xml><?xml version="1.0" encoding="utf-8"?>
<formControlPr xmlns="http://schemas.microsoft.com/office/spreadsheetml/2009/9/main" objectType="Scroll" dx="26" fmlaLink="$C$4" horiz="1" max="20" min="1" page="5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V$4" lockText="1" noThreeD="1"/>
</file>

<file path=xl/ctrlProps/ctrlProp6.xml><?xml version="1.0" encoding="utf-8"?>
<formControlPr xmlns="http://schemas.microsoft.com/office/spreadsheetml/2009/9/main" objectType="CheckBox" fmlaLink="$V$5" lockText="1" noThreeD="1"/>
</file>

<file path=xl/ctrlProps/ctrlProp7.xml><?xml version="1.0" encoding="utf-8"?>
<formControlPr xmlns="http://schemas.microsoft.com/office/spreadsheetml/2009/9/main" objectType="CheckBox" checked="Checked" fmlaLink="$V$6" lockText="1" noThreeD="1"/>
</file>

<file path=xl/ctrlProps/ctrlProp8.xml><?xml version="1.0" encoding="utf-8"?>
<formControlPr xmlns="http://schemas.microsoft.com/office/spreadsheetml/2009/9/main" objectType="CheckBox" checked="Checked" fmlaLink="$V$8" lockText="1" noThreeD="1"/>
</file>

<file path=xl/ctrlProps/ctrlProp9.xml><?xml version="1.0" encoding="utf-8"?>
<formControlPr xmlns="http://schemas.microsoft.com/office/spreadsheetml/2009/9/main" objectType="CheckBox" fmlaLink="$V$7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2050" name="Scroll Bar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51" name="Scroll Bar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052" name="Scroll Bar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Scenario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182880</xdr:colOff>
          <xdr:row>3</xdr:row>
          <xdr:rowOff>0</xdr:rowOff>
        </xdr:from>
        <xdr:to>
          <xdr:col>21</xdr:col>
          <xdr:colOff>0</xdr:colOff>
          <xdr:row>4</xdr:row>
          <xdr:rowOff>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allow repairs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182880</xdr:colOff>
          <xdr:row>4</xdr:row>
          <xdr:rowOff>0</xdr:rowOff>
        </xdr:from>
        <xdr:to>
          <xdr:col>21</xdr:col>
          <xdr:colOff>0</xdr:colOff>
          <xdr:row>4</xdr:row>
          <xdr:rowOff>189221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allow redeploys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182880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best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182880</xdr:colOff>
          <xdr:row>7</xdr:row>
          <xdr:rowOff>0</xdr:rowOff>
        </xdr:from>
        <xdr:to>
          <xdr:col>21</xdr:col>
          <xdr:colOff>0</xdr:colOff>
          <xdr:row>8</xdr:row>
          <xdr:rowOff>0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EOC replacements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182880</xdr:colOff>
          <xdr:row>6</xdr:row>
          <xdr:rowOff>0</xdr:rowOff>
        </xdr:from>
        <xdr:to>
          <xdr:col>21</xdr:col>
          <xdr:colOff>0</xdr:colOff>
          <xdr:row>6</xdr:row>
          <xdr:rowOff>189221</xdr:rowOff>
        </xdr:to>
        <xdr:sp macro="" textlink="">
          <xdr:nvSpPr>
            <xdr:cNvPr id="7173" name="Check Box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early deploy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14</xdr:row>
          <xdr:rowOff>172607</xdr:rowOff>
        </xdr:from>
        <xdr:to>
          <xdr:col>7</xdr:col>
          <xdr:colOff>259080</xdr:colOff>
          <xdr:row>16</xdr:row>
          <xdr:rowOff>1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14</xdr:row>
          <xdr:rowOff>0</xdr:rowOff>
        </xdr:from>
        <xdr:to>
          <xdr:col>7</xdr:col>
          <xdr:colOff>259080</xdr:colOff>
          <xdr:row>15</xdr:row>
          <xdr:rowOff>0</xdr:rowOff>
        </xdr:to>
        <xdr:sp macro="" textlink="">
          <xdr:nvSpPr>
            <xdr:cNvPr id="7198" name="Button 30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6</xdr:row>
          <xdr:rowOff>7620</xdr:rowOff>
        </xdr:from>
        <xdr:to>
          <xdr:col>14</xdr:col>
          <xdr:colOff>259080</xdr:colOff>
          <xdr:row>7</xdr:row>
          <xdr:rowOff>0</xdr:rowOff>
        </xdr:to>
        <xdr:sp macro="" textlink="">
          <xdr:nvSpPr>
            <xdr:cNvPr id="7205" name="Button 37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5</xdr:row>
          <xdr:rowOff>7620</xdr:rowOff>
        </xdr:from>
        <xdr:to>
          <xdr:col>14</xdr:col>
          <xdr:colOff>259080</xdr:colOff>
          <xdr:row>6</xdr:row>
          <xdr:rowOff>0</xdr:rowOff>
        </xdr:to>
        <xdr:sp macro="" textlink="">
          <xdr:nvSpPr>
            <xdr:cNvPr id="7206" name="Button 38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1028700</xdr:colOff>
          <xdr:row>14</xdr:row>
          <xdr:rowOff>0</xdr:rowOff>
        </xdr:from>
        <xdr:to>
          <xdr:col>1</xdr:col>
          <xdr:colOff>1226820</xdr:colOff>
          <xdr:row>15</xdr:row>
          <xdr:rowOff>0</xdr:rowOff>
        </xdr:to>
        <xdr:sp macro="" textlink="">
          <xdr:nvSpPr>
            <xdr:cNvPr id="7207" name="Button 39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1028700</xdr:colOff>
          <xdr:row>13</xdr:row>
          <xdr:rowOff>0</xdr:rowOff>
        </xdr:from>
        <xdr:to>
          <xdr:col>1</xdr:col>
          <xdr:colOff>1226820</xdr:colOff>
          <xdr:row>14</xdr:row>
          <xdr:rowOff>0</xdr:rowOff>
        </xdr:to>
        <xdr:sp macro="" textlink="">
          <xdr:nvSpPr>
            <xdr:cNvPr id="7208" name="Button 40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220980</xdr:colOff>
          <xdr:row>1</xdr:row>
          <xdr:rowOff>0</xdr:rowOff>
        </xdr:to>
        <xdr:sp macro="" textlink="">
          <xdr:nvSpPr>
            <xdr:cNvPr id="7214" name="Button 46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main" connectionId="3" autoFormatId="16" applyNumberFormats="0" applyBorderFormats="0" applyFontFormats="0" applyPatternFormats="0" applyAlignmentFormats="0" applyWidthHeightFormats="0">
  <queryTableRefresh nextId="7">
    <queryTableFields count="6">
      <queryTableField id="1" name="model" tableColumnId="1"/>
      <queryTableField id="2" name="model_number" tableColumnId="2"/>
      <queryTableField id="3" name="nameplate" tableColumnId="3"/>
      <queryTableField id="4" name="enclosures" tableColumnId="4"/>
      <queryTableField id="5" name="plus_one" tableColumnId="5"/>
      <queryTableField id="6" name="standard" tableColumnId="6"/>
    </queryTableFields>
  </queryTableRefresh>
</queryTable>
</file>

<file path=xl/queryTables/queryTable2.xml><?xml version="1.0" encoding="utf-8"?>
<queryTable xmlns="http://schemas.openxmlformats.org/spreadsheetml/2006/main" name="main_1" connectionId="2" autoFormatId="16" applyNumberFormats="0" applyBorderFormats="0" applyFontFormats="0" applyPatternFormats="0" applyAlignmentFormats="0" applyWidthHeightFormats="0">
  <queryTableRefresh nextId="7">
    <queryTableFields count="6">
      <queryTableField id="1" name="model" tableColumnId="1"/>
      <queryTableField id="2" name="mark" tableColumnId="2"/>
      <queryTableField id="3" name="model_number" tableColumnId="3"/>
      <queryTableField id="4" name="initial_date" tableColumnId="4"/>
      <queryTableField id="5" name="rating" tableColumnId="5"/>
      <queryTableField id="6" name="stacks" tableColumnId="6"/>
    </queryTableFields>
  </queryTableRefresh>
</queryTable>
</file>

<file path=xl/queryTables/queryTable3.xml><?xml version="1.0" encoding="utf-8"?>
<queryTable xmlns="http://schemas.openxmlformats.org/spreadsheetml/2006/main" name="ExternalData_1" connectionId="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odel" tableColumnId="2"/>
    </queryTableFields>
  </queryTableRefresh>
</queryTable>
</file>

<file path=xl/queryTables/queryTable4.xml><?xml version="1.0" encoding="utf-8"?>
<queryTable xmlns="http://schemas.openxmlformats.org/spreadsheetml/2006/main" name="ExternalData_2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odel" tableColumnId="2"/>
    </queryTableFields>
  </queryTableRefresh>
</queryTable>
</file>

<file path=xl/queryTables/queryTable5.xml><?xml version="1.0" encoding="utf-8"?>
<queryTable xmlns="http://schemas.openxmlformats.org/spreadsheetml/2006/main" name="ExternalData_3" connectionId="8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model" tableColumnId="7"/>
      <queryTableField id="2" name="model_number" tableColumnId="8"/>
    </queryTableFields>
  </queryTableRefresh>
</queryTable>
</file>

<file path=xl/queryTables/queryTable6.xml><?xml version="1.0" encoding="utf-8"?>
<queryTable xmlns="http://schemas.openxmlformats.org/spreadsheetml/2006/main" name="ExternalData_4" connectionId="5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model" tableColumnId="7"/>
      <queryTableField id="2" name="mark" tableColumnId="8"/>
    </queryTableFields>
  </queryTableRefresh>
</queryTable>
</file>

<file path=xl/queryTables/queryTable7.xml><?xml version="1.0" encoding="utf-8"?>
<queryTable xmlns="http://schemas.openxmlformats.org/spreadsheetml/2006/main" name="ExternalData_5" connectionId="6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model" tableColumnId="10"/>
      <queryTableField id="2" name="mark" tableColumnId="11"/>
      <queryTableField id="3" name="model_number" tableColumnId="12"/>
    </queryTableFields>
  </queryTableRefresh>
</queryTable>
</file>

<file path=xl/queryTables/queryTable8.xml><?xml version="1.0" encoding="utf-8"?>
<queryTable xmlns="http://schemas.openxmlformats.org/spreadsheetml/2006/main" name="mobunni_apc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customer" tableColumnId="2"/>
    </queryTableFields>
  </queryTableRefresh>
</queryTable>
</file>

<file path=xl/queryTables/queryTable9.xml><?xml version="1.0" encoding="utf-8"?>
<queryTable xmlns="http://schemas.openxmlformats.org/spreadsheetml/2006/main" name="ExternalData_6" connectionId="9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id" tableColumnId="7"/>
      <queryTableField id="2" name="customer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5" name="SQL_Servers" displayName="SQL_Servers" ref="B3:G135" tableType="queryTable" totalsRowShown="0">
  <autoFilter ref="B3:G135"/>
  <tableColumns count="6">
    <tableColumn id="1" uniqueName="1" name="model" queryTableFieldId="1"/>
    <tableColumn id="2" uniqueName="2" name="model_number" queryTableFieldId="2"/>
    <tableColumn id="3" uniqueName="3" name="nameplate" queryTableFieldId="3"/>
    <tableColumn id="4" uniqueName="4" name="enclosures" queryTableFieldId="4"/>
    <tableColumn id="5" uniqueName="5" name="plus_one" queryTableFieldId="5"/>
    <tableColumn id="6" uniqueName="6" name="standard" queryTableField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QL_Modules" displayName="SQL_Modules" ref="N3:S37" tableType="queryTable" totalsRowShown="0">
  <autoFilter ref="N3:S37"/>
  <tableColumns count="6">
    <tableColumn id="1" uniqueName="1" name="model" queryTableFieldId="1"/>
    <tableColumn id="2" uniqueName="2" name="mark" queryTableFieldId="2"/>
    <tableColumn id="3" uniqueName="3" name="model_number" queryTableFieldId="3"/>
    <tableColumn id="4" uniqueName="4" name="initial_date" queryTableFieldId="4"/>
    <tableColumn id="5" uniqueName="5" name="rating" queryTableFieldId="5"/>
    <tableColumn id="6" uniqueName="6" name="stacks" queryTableField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0" name="SQL_Servers_0" displayName="SQL_Servers_0" ref="I3:I6" tableType="queryTable" totalsRowShown="0">
  <autoFilter ref="I3:I6"/>
  <tableColumns count="1">
    <tableColumn id="2" uniqueName="2" name="model" queryTableFieldId="1" dataDxf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1" name="SQL_Modules_1" displayName="SQL_Modules_1" ref="U3:U8" tableType="queryTable" totalsRowShown="0">
  <autoFilter ref="U3:U8"/>
  <tableColumns count="1">
    <tableColumn id="2" uniqueName="2" name="model" queryTableFieldId="1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4" name="SQL_Servers_2" displayName="SQL_Servers_2" ref="K3:L135" tableType="queryTable" totalsRowShown="0">
  <autoFilter ref="K3:L135"/>
  <tableColumns count="2">
    <tableColumn id="7" uniqueName="7" name="model" queryTableFieldId="1" dataDxfId="15"/>
    <tableColumn id="8" uniqueName="8" name="model_number" queryTableFieldId="2" dataDxfId="1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SQL_Modules_2" displayName="SQL_Modules_2" ref="W3:X16" tableType="queryTable" totalsRowShown="0">
  <autoFilter ref="W3:X16"/>
  <tableColumns count="2">
    <tableColumn id="7" uniqueName="7" name="model" queryTableFieldId="1" dataDxfId="17"/>
    <tableColumn id="8" uniqueName="8" name="mark" queryTableFieldId="2" dataDxfId="1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9" name="SQL_Modules_3" displayName="SQL_Modules_3" ref="Z3:AB37" tableType="queryTable" totalsRowShown="0">
  <autoFilter ref="Z3:AB37"/>
  <tableColumns count="3">
    <tableColumn id="10" uniqueName="10" name="model" queryTableFieldId="1" dataDxfId="11"/>
    <tableColumn id="11" uniqueName="11" name="mark" queryTableFieldId="2" dataDxfId="10"/>
    <tableColumn id="12" uniqueName="12" name="model_number" queryTableFieldId="3" dataDxf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13" name="SQL_Sites" displayName="SQL_Sites" ref="AD3:AE667" tableType="queryTable" totalsRowShown="0">
  <autoFilter ref="AD3:AE667"/>
  <tableColumns count="2">
    <tableColumn id="1" uniqueName="1" name="id" queryTableFieldId="1"/>
    <tableColumn id="2" uniqueName="2" name="customer" queryTableFieldId="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4" name="SQL_Sites_1" displayName="SQL_Sites_1" ref="AG3:AH667" tableType="queryTable" totalsRowShown="0">
  <autoFilter ref="AG3:AH667"/>
  <tableColumns count="2">
    <tableColumn id="7" uniqueName="7" name="id" queryTableFieldId="1" dataDxfId="13"/>
    <tableColumn id="8" uniqueName="8" name="customer" queryTableFieldId="2" dataDxf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1" name="Roadmap" displayName="Roadmap" ref="P5:S6" totalsRowShown="0" dataDxfId="32">
  <autoFilter ref="P5:S6">
    <filterColumn colId="0" hiddenButton="1"/>
    <filterColumn colId="1" hiddenButton="1"/>
    <filterColumn colId="2" hiddenButton="1"/>
    <filterColumn colId="3" hiddenButton="1"/>
  </autoFilter>
  <tableColumns count="4">
    <tableColumn id="1" name="model" dataDxfId="31"/>
    <tableColumn id="2" name="mark" dataDxfId="30"/>
    <tableColumn id="3" name="model number" dataDxfId="22"/>
    <tableColumn id="4" name="rating" dataDxfId="19" dataCellStyle="Comma">
      <calculatedColumnFormula>SUMIFS(SQL_Modules[rating], SQL_Modules[model], Roadmap[[#This Row],[model]], SQL_Modules[mark], Roadmap[[#This Row],[mark]], SQL_Modules[model_number], Roadmap[[#This Row],[model number]])</calculatedColumnFormula>
    </tableColumn>
  </tableColumns>
  <tableStyleInfo name="Inputs" showFirstColumn="0" showLastColumn="0" showRowStripes="1" showColumnStripes="0"/>
</table>
</file>

<file path=xl/tables/table11.xml><?xml version="1.0" encoding="utf-8"?>
<table xmlns="http://schemas.openxmlformats.org/spreadsheetml/2006/main" id="2" name="NewServers" displayName="NewServers" ref="I14:N16" totalsRowCount="1">
  <autoFilter ref="I14:N1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server number" totalsRowLabel="total" dataDxfId="29">
      <calculatedColumnFormula>ROW()-ROW(NewServers[[#Headers],[server number]])</calculatedColumnFormula>
    </tableColumn>
    <tableColumn id="2" name="model" dataDxfId="28"/>
    <tableColumn id="3" name="model number" dataDxfId="27"/>
    <tableColumn id="4" name="nameplate" totalsRowFunction="custom" dataDxfId="26" totalsRowDxfId="7" dataCellStyle="Comma">
      <calculatedColumnFormula>SUMIFS(SQL_Servers[nameplate], SQL_Servers[model], NewServers[[#This Row],[model]], SQL_Servers[model_number], NewServers[[#This Row],[model number]])</calculatedColumnFormula>
      <totalsRowFormula>SUM(NewServers[nameplate])</totalsRowFormula>
    </tableColumn>
    <tableColumn id="5" name="filled" dataDxfId="21" dataCellStyle="Comma">
      <calculatedColumnFormula>SUMIFS(SQL_Servers[enclosures], SQL_Servers[model], NewServers[[#This Row],[model]], SQL_Servers[model_number], NewServers[[#This Row],[model number]])</calculatedColumnFormula>
    </tableColumn>
    <tableColumn id="6" name="empty" dataDxfId="20" dataCellStyle="Comma">
      <calculatedColumnFormula>SUMIFS(SQL_Servers[plus_one], SQL_Servers[model], NewServers[[#This Row],[model]], SQL_Servers[model_number], NewServers[[#This Row],[model number]])</calculatedColumnFormula>
    </tableColumn>
  </tableColumns>
  <tableStyleInfo name="Inputs" showFirstColumn="1" showLastColumn="0" showRowStripes="1" showColumnStripes="0"/>
</table>
</file>

<file path=xl/tables/table12.xml><?xml version="1.0" encoding="utf-8"?>
<table xmlns="http://schemas.openxmlformats.org/spreadsheetml/2006/main" id="3" name="NonReplace" displayName="NonReplace" ref="C13:D14" totalsRowShown="0" dataDxfId="25">
  <autoFilter ref="C13:D14">
    <filterColumn colId="0" hiddenButton="1"/>
    <filterColumn colId="1" hiddenButton="1"/>
  </autoFilter>
  <tableColumns count="2">
    <tableColumn id="1" name="start" dataDxfId="24"/>
    <tableColumn id="2" name="end" dataDxfId="23"/>
  </tableColumns>
  <tableStyleInfo name="Input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table" Target="../tables/table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table" Target="../tables/table11.xml"/><Relationship Id="rId2" Type="http://schemas.openxmlformats.org/officeDocument/2006/relationships/drawing" Target="../drawings/drawing2.xml"/><Relationship Id="rId16" Type="http://schemas.openxmlformats.org/officeDocument/2006/relationships/table" Target="../tables/table10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etails">
    <tabColor rgb="FFC00000"/>
  </sheetPr>
  <dimension ref="B2:E8"/>
  <sheetViews>
    <sheetView showGridLines="0" showRowColHeaders="0" tabSelected="1" zoomScaleNormal="100" workbookViewId="0">
      <selection activeCell="C4" sqref="C4"/>
    </sheetView>
  </sheetViews>
  <sheetFormatPr defaultRowHeight="14.4" x14ac:dyDescent="0.3"/>
  <cols>
    <col min="2" max="2" width="15.6640625" bestFit="1" customWidth="1"/>
    <col min="3" max="3" width="6" customWidth="1"/>
  </cols>
  <sheetData>
    <row r="2" spans="2:5" ht="15" thickBot="1" x14ac:dyDescent="0.35">
      <c r="B2" s="10" t="s">
        <v>4</v>
      </c>
      <c r="C2" s="11"/>
      <c r="D2" s="1"/>
      <c r="E2" s="1"/>
    </row>
    <row r="3" spans="2:5" ht="15.6" thickTop="1" thickBot="1" x14ac:dyDescent="0.35"/>
    <row r="4" spans="2:5" ht="15" thickBot="1" x14ac:dyDescent="0.35">
      <c r="B4" t="s">
        <v>6</v>
      </c>
      <c r="C4" s="18">
        <v>1</v>
      </c>
    </row>
    <row r="5" spans="2:5" ht="15" thickBot="1" x14ac:dyDescent="0.35"/>
    <row r="6" spans="2:5" ht="15" thickBot="1" x14ac:dyDescent="0.35">
      <c r="B6" t="s">
        <v>2</v>
      </c>
      <c r="C6" s="18">
        <v>1</v>
      </c>
    </row>
    <row r="7" spans="2:5" ht="15" thickBot="1" x14ac:dyDescent="0.35"/>
    <row r="8" spans="2:5" ht="15" thickBot="1" x14ac:dyDescent="0.35">
      <c r="B8" t="s">
        <v>5</v>
      </c>
      <c r="C8" s="18">
        <v>1</v>
      </c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Scroll Bar 2">
              <controlPr defaultSize="0" autoPict="0">
                <anchor moveWithCells="1">
                  <from>
                    <xdr:col>3</xdr:col>
                    <xdr:colOff>106680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Scroll Bar 3">
              <controlPr defaultSize="0" autoPict="0">
                <anchor moveWithCells="1">
                  <from>
                    <xdr:col>3</xdr:col>
                    <xdr:colOff>106680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Scroll Bar 4">
              <controlPr defaultSize="0" autoPict="0">
                <anchor moveWithCells="1">
                  <from>
                    <xdr:col>3</xdr:col>
                    <xdr:colOff>106680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Details.Add_Scenario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brary">
    <tabColor rgb="FF7030A0"/>
  </sheetPr>
  <dimension ref="B2:AH767"/>
  <sheetViews>
    <sheetView workbookViewId="0">
      <selection activeCell="H21" sqref="H21"/>
    </sheetView>
  </sheetViews>
  <sheetFormatPr defaultRowHeight="14.4" x14ac:dyDescent="0.3"/>
  <cols>
    <col min="2" max="2" width="9.44140625" customWidth="1"/>
    <col min="3" max="3" width="16.33203125" customWidth="1"/>
    <col min="4" max="4" width="12.21875" customWidth="1"/>
    <col min="5" max="5" width="12.109375" customWidth="1"/>
    <col min="6" max="6" width="10.88671875" customWidth="1"/>
    <col min="7" max="7" width="10.6640625" customWidth="1"/>
    <col min="9" max="9" width="9.33203125" customWidth="1"/>
    <col min="11" max="11" width="9.33203125" customWidth="1"/>
    <col min="12" max="12" width="16.33203125" customWidth="1"/>
    <col min="14" max="14" width="9.44140625" customWidth="1"/>
    <col min="15" max="15" width="7.5546875" customWidth="1"/>
    <col min="16" max="16" width="16.33203125" customWidth="1"/>
    <col min="17" max="17" width="12.5546875" customWidth="1"/>
    <col min="18" max="18" width="8.109375" customWidth="1"/>
    <col min="19" max="19" width="8.33203125" customWidth="1"/>
    <col min="21" max="21" width="9.33203125" bestFit="1" customWidth="1"/>
    <col min="23" max="23" width="9.33203125" customWidth="1"/>
    <col min="24" max="24" width="7.5546875" customWidth="1"/>
    <col min="26" max="26" width="9.33203125" customWidth="1"/>
    <col min="27" max="27" width="7.5546875" customWidth="1"/>
    <col min="28" max="28" width="16.33203125" customWidth="1"/>
    <col min="30" max="30" width="10" bestFit="1" customWidth="1"/>
    <col min="31" max="31" width="44" customWidth="1"/>
    <col min="33" max="33" width="10" bestFit="1" customWidth="1"/>
    <col min="34" max="34" width="44" customWidth="1"/>
  </cols>
  <sheetData>
    <row r="2" spans="2:34" x14ac:dyDescent="0.3">
      <c r="B2" t="s">
        <v>228</v>
      </c>
      <c r="I2" t="s">
        <v>227</v>
      </c>
      <c r="K2" t="s">
        <v>229</v>
      </c>
      <c r="N2" t="s">
        <v>225</v>
      </c>
      <c r="U2" t="s">
        <v>230</v>
      </c>
      <c r="W2" t="s">
        <v>231</v>
      </c>
      <c r="Z2" t="s">
        <v>232</v>
      </c>
      <c r="AD2" t="s">
        <v>1028</v>
      </c>
      <c r="AG2" t="s">
        <v>1029</v>
      </c>
    </row>
    <row r="3" spans="2:34" x14ac:dyDescent="0.3">
      <c r="B3" t="s">
        <v>7</v>
      </c>
      <c r="C3" t="s">
        <v>173</v>
      </c>
      <c r="D3" t="s">
        <v>148</v>
      </c>
      <c r="E3" t="s">
        <v>174</v>
      </c>
      <c r="F3" t="s">
        <v>175</v>
      </c>
      <c r="G3" t="s">
        <v>176</v>
      </c>
      <c r="I3" s="14" t="s">
        <v>7</v>
      </c>
      <c r="K3" s="14" t="s">
        <v>7</v>
      </c>
      <c r="L3" s="14" t="s">
        <v>173</v>
      </c>
      <c r="N3" t="s">
        <v>7</v>
      </c>
      <c r="O3" t="s">
        <v>8</v>
      </c>
      <c r="P3" t="s">
        <v>173</v>
      </c>
      <c r="Q3" t="s">
        <v>178</v>
      </c>
      <c r="R3" t="s">
        <v>141</v>
      </c>
      <c r="S3" t="s">
        <v>179</v>
      </c>
      <c r="U3" s="14" t="s">
        <v>7</v>
      </c>
      <c r="W3" s="14" t="s">
        <v>7</v>
      </c>
      <c r="X3" s="14" t="s">
        <v>8</v>
      </c>
      <c r="Z3" s="14" t="s">
        <v>7</v>
      </c>
      <c r="AA3" s="14" t="s">
        <v>8</v>
      </c>
      <c r="AB3" s="14" t="s">
        <v>173</v>
      </c>
      <c r="AD3" t="s">
        <v>233</v>
      </c>
      <c r="AE3" t="s">
        <v>234</v>
      </c>
      <c r="AG3" s="14" t="s">
        <v>233</v>
      </c>
      <c r="AH3" s="14" t="s">
        <v>234</v>
      </c>
    </row>
    <row r="4" spans="2:34" x14ac:dyDescent="0.3">
      <c r="B4" t="s">
        <v>9</v>
      </c>
      <c r="C4" t="s">
        <v>10</v>
      </c>
      <c r="D4">
        <v>300</v>
      </c>
      <c r="E4">
        <v>6</v>
      </c>
      <c r="F4">
        <v>0</v>
      </c>
      <c r="G4">
        <v>0</v>
      </c>
      <c r="I4" s="14" t="s">
        <v>113</v>
      </c>
      <c r="K4" s="14" t="s">
        <v>113</v>
      </c>
      <c r="L4" s="14" t="s">
        <v>124</v>
      </c>
      <c r="N4" t="s">
        <v>113</v>
      </c>
      <c r="O4" t="s">
        <v>145</v>
      </c>
      <c r="P4" t="s">
        <v>145</v>
      </c>
      <c r="Q4" t="s">
        <v>180</v>
      </c>
      <c r="R4">
        <v>45</v>
      </c>
      <c r="S4" t="s">
        <v>181</v>
      </c>
      <c r="U4" s="14" t="s">
        <v>113</v>
      </c>
      <c r="W4" s="14" t="s">
        <v>113</v>
      </c>
      <c r="X4" s="14" t="s">
        <v>145</v>
      </c>
      <c r="Z4" s="14" t="s">
        <v>113</v>
      </c>
      <c r="AA4" s="14" t="s">
        <v>145</v>
      </c>
      <c r="AB4" s="14" t="s">
        <v>145</v>
      </c>
      <c r="AD4" t="s">
        <v>235</v>
      </c>
      <c r="AE4" t="s">
        <v>236</v>
      </c>
      <c r="AG4" s="14" t="s">
        <v>676</v>
      </c>
      <c r="AH4" s="14" t="s">
        <v>677</v>
      </c>
    </row>
    <row r="5" spans="2:34" x14ac:dyDescent="0.3">
      <c r="B5" t="s">
        <v>9</v>
      </c>
      <c r="C5" t="s">
        <v>11</v>
      </c>
      <c r="D5">
        <v>300</v>
      </c>
      <c r="E5">
        <v>6</v>
      </c>
      <c r="F5">
        <v>1</v>
      </c>
      <c r="G5">
        <v>0</v>
      </c>
      <c r="I5" s="14" t="s">
        <v>9</v>
      </c>
      <c r="K5" s="14" t="s">
        <v>113</v>
      </c>
      <c r="L5" s="14" t="s">
        <v>125</v>
      </c>
      <c r="N5" t="s">
        <v>9</v>
      </c>
      <c r="O5" t="s">
        <v>142</v>
      </c>
      <c r="P5" t="s">
        <v>182</v>
      </c>
      <c r="Q5" t="s">
        <v>183</v>
      </c>
      <c r="R5">
        <v>50</v>
      </c>
      <c r="S5" t="s">
        <v>184</v>
      </c>
      <c r="U5" s="14" t="s">
        <v>9</v>
      </c>
      <c r="W5" s="14" t="s">
        <v>146</v>
      </c>
      <c r="X5" s="14" t="s">
        <v>142</v>
      </c>
      <c r="Z5" s="14" t="s">
        <v>113</v>
      </c>
      <c r="AA5" s="14" t="s">
        <v>145</v>
      </c>
      <c r="AB5" s="14" t="s">
        <v>224</v>
      </c>
      <c r="AD5" t="s">
        <v>237</v>
      </c>
      <c r="AE5" t="s">
        <v>238</v>
      </c>
      <c r="AG5" s="14" t="s">
        <v>672</v>
      </c>
      <c r="AH5" s="14" t="s">
        <v>394</v>
      </c>
    </row>
    <row r="6" spans="2:34" x14ac:dyDescent="0.3">
      <c r="B6" t="s">
        <v>9</v>
      </c>
      <c r="C6" t="s">
        <v>12</v>
      </c>
      <c r="D6">
        <v>300</v>
      </c>
      <c r="E6">
        <v>6</v>
      </c>
      <c r="F6">
        <v>1</v>
      </c>
      <c r="G6">
        <v>0</v>
      </c>
      <c r="I6" s="14" t="s">
        <v>134</v>
      </c>
      <c r="K6" s="14" t="s">
        <v>113</v>
      </c>
      <c r="L6" s="14" t="s">
        <v>122</v>
      </c>
      <c r="N6" t="s">
        <v>134</v>
      </c>
      <c r="O6" t="s">
        <v>142</v>
      </c>
      <c r="P6" t="s">
        <v>182</v>
      </c>
      <c r="Q6" t="s">
        <v>185</v>
      </c>
      <c r="R6">
        <v>75</v>
      </c>
      <c r="S6" t="s">
        <v>184</v>
      </c>
      <c r="U6" s="14" t="s">
        <v>134</v>
      </c>
      <c r="W6" s="14" t="s">
        <v>146</v>
      </c>
      <c r="X6" s="14" t="s">
        <v>145</v>
      </c>
      <c r="Z6" s="14" t="s">
        <v>146</v>
      </c>
      <c r="AA6" s="14" t="s">
        <v>142</v>
      </c>
      <c r="AB6" s="14" t="s">
        <v>142</v>
      </c>
      <c r="AD6" t="s">
        <v>239</v>
      </c>
      <c r="AE6" t="s">
        <v>240</v>
      </c>
      <c r="AG6" s="14" t="s">
        <v>393</v>
      </c>
      <c r="AH6" s="14" t="s">
        <v>394</v>
      </c>
    </row>
    <row r="7" spans="2:34" x14ac:dyDescent="0.3">
      <c r="B7" t="s">
        <v>9</v>
      </c>
      <c r="C7" t="s">
        <v>13</v>
      </c>
      <c r="D7">
        <v>300</v>
      </c>
      <c r="E7">
        <v>6</v>
      </c>
      <c r="F7">
        <v>0</v>
      </c>
      <c r="G7">
        <v>0</v>
      </c>
      <c r="K7" s="14" t="s">
        <v>113</v>
      </c>
      <c r="L7" s="14" t="s">
        <v>123</v>
      </c>
      <c r="N7" t="s">
        <v>134</v>
      </c>
      <c r="O7" t="s">
        <v>145</v>
      </c>
      <c r="P7" t="s">
        <v>186</v>
      </c>
      <c r="Q7" t="s">
        <v>187</v>
      </c>
      <c r="R7">
        <v>85</v>
      </c>
      <c r="S7" t="s">
        <v>184</v>
      </c>
      <c r="U7" s="14" t="s">
        <v>146</v>
      </c>
      <c r="W7" s="14" t="s">
        <v>147</v>
      </c>
      <c r="X7" s="14" t="s">
        <v>142</v>
      </c>
      <c r="Z7" s="14" t="s">
        <v>146</v>
      </c>
      <c r="AA7" s="14" t="s">
        <v>145</v>
      </c>
      <c r="AB7" s="14" t="s">
        <v>145</v>
      </c>
      <c r="AD7" t="s">
        <v>241</v>
      </c>
      <c r="AE7" t="s">
        <v>240</v>
      </c>
      <c r="AG7" s="14" t="s">
        <v>683</v>
      </c>
      <c r="AH7" s="14" t="s">
        <v>394</v>
      </c>
    </row>
    <row r="8" spans="2:34" x14ac:dyDescent="0.3">
      <c r="B8" t="s">
        <v>9</v>
      </c>
      <c r="C8" t="s">
        <v>14</v>
      </c>
      <c r="D8">
        <v>300</v>
      </c>
      <c r="E8">
        <v>6</v>
      </c>
      <c r="F8">
        <v>1</v>
      </c>
      <c r="G8">
        <v>1</v>
      </c>
      <c r="K8" s="14" t="s">
        <v>113</v>
      </c>
      <c r="L8" s="14" t="s">
        <v>128</v>
      </c>
      <c r="N8" t="s">
        <v>134</v>
      </c>
      <c r="O8" t="s">
        <v>188</v>
      </c>
      <c r="P8" t="s">
        <v>189</v>
      </c>
      <c r="Q8" t="s">
        <v>190</v>
      </c>
      <c r="R8">
        <v>100</v>
      </c>
      <c r="S8" t="s">
        <v>184</v>
      </c>
      <c r="U8" s="14" t="s">
        <v>147</v>
      </c>
      <c r="W8" s="14" t="s">
        <v>147</v>
      </c>
      <c r="X8" s="14" t="s">
        <v>145</v>
      </c>
      <c r="Z8" s="14" t="s">
        <v>147</v>
      </c>
      <c r="AA8" s="14" t="s">
        <v>142</v>
      </c>
      <c r="AB8" s="14" t="s">
        <v>142</v>
      </c>
      <c r="AD8" t="s">
        <v>242</v>
      </c>
      <c r="AE8" t="s">
        <v>243</v>
      </c>
      <c r="AG8" s="14" t="s">
        <v>1007</v>
      </c>
      <c r="AH8" s="14" t="s">
        <v>1008</v>
      </c>
    </row>
    <row r="9" spans="2:34" x14ac:dyDescent="0.3">
      <c r="B9" t="s">
        <v>9</v>
      </c>
      <c r="C9" t="s">
        <v>15</v>
      </c>
      <c r="D9">
        <v>300</v>
      </c>
      <c r="E9">
        <v>6</v>
      </c>
      <c r="F9">
        <v>1</v>
      </c>
      <c r="G9">
        <v>0</v>
      </c>
      <c r="K9" s="14" t="s">
        <v>113</v>
      </c>
      <c r="L9" s="14" t="s">
        <v>129</v>
      </c>
      <c r="N9" t="s">
        <v>134</v>
      </c>
      <c r="O9" t="s">
        <v>191</v>
      </c>
      <c r="P9" t="s">
        <v>192</v>
      </c>
      <c r="Q9" t="s">
        <v>193</v>
      </c>
      <c r="R9">
        <v>110</v>
      </c>
      <c r="S9" t="s">
        <v>184</v>
      </c>
      <c r="W9" s="14" t="s">
        <v>134</v>
      </c>
      <c r="X9" s="14" t="s">
        <v>142</v>
      </c>
      <c r="Z9" s="14" t="s">
        <v>147</v>
      </c>
      <c r="AA9" s="14" t="s">
        <v>145</v>
      </c>
      <c r="AB9" s="14" t="s">
        <v>145</v>
      </c>
      <c r="AD9" t="s">
        <v>244</v>
      </c>
      <c r="AE9" t="s">
        <v>240</v>
      </c>
      <c r="AG9" s="14" t="s">
        <v>679</v>
      </c>
      <c r="AH9" s="14" t="s">
        <v>680</v>
      </c>
    </row>
    <row r="10" spans="2:34" x14ac:dyDescent="0.3">
      <c r="B10" t="s">
        <v>9</v>
      </c>
      <c r="C10" t="s">
        <v>16</v>
      </c>
      <c r="D10">
        <v>300</v>
      </c>
      <c r="E10">
        <v>6</v>
      </c>
      <c r="F10">
        <v>1</v>
      </c>
      <c r="G10">
        <v>0</v>
      </c>
      <c r="K10" s="14" t="s">
        <v>113</v>
      </c>
      <c r="L10" s="14" t="s">
        <v>126</v>
      </c>
      <c r="N10" t="s">
        <v>134</v>
      </c>
      <c r="O10" t="s">
        <v>194</v>
      </c>
      <c r="P10" t="s">
        <v>195</v>
      </c>
      <c r="Q10" t="s">
        <v>196</v>
      </c>
      <c r="R10">
        <v>120</v>
      </c>
      <c r="S10" t="s">
        <v>184</v>
      </c>
      <c r="W10" s="14" t="s">
        <v>134</v>
      </c>
      <c r="X10" s="14" t="s">
        <v>145</v>
      </c>
      <c r="Z10" s="14" t="s">
        <v>134</v>
      </c>
      <c r="AA10" s="14" t="s">
        <v>142</v>
      </c>
      <c r="AB10" s="14" t="s">
        <v>142</v>
      </c>
      <c r="AD10" t="s">
        <v>245</v>
      </c>
      <c r="AE10" t="s">
        <v>240</v>
      </c>
      <c r="AG10" s="14" t="s">
        <v>289</v>
      </c>
      <c r="AH10" s="14" t="s">
        <v>290</v>
      </c>
    </row>
    <row r="11" spans="2:34" x14ac:dyDescent="0.3">
      <c r="B11" t="s">
        <v>9</v>
      </c>
      <c r="C11" t="s">
        <v>17</v>
      </c>
      <c r="D11">
        <v>250</v>
      </c>
      <c r="E11">
        <v>5</v>
      </c>
      <c r="F11">
        <v>1</v>
      </c>
      <c r="G11">
        <v>0</v>
      </c>
      <c r="K11" s="14" t="s">
        <v>113</v>
      </c>
      <c r="L11" s="14" t="s">
        <v>127</v>
      </c>
      <c r="N11" t="s">
        <v>134</v>
      </c>
      <c r="O11" t="s">
        <v>197</v>
      </c>
      <c r="P11" t="s">
        <v>198</v>
      </c>
      <c r="Q11" t="s">
        <v>199</v>
      </c>
      <c r="R11">
        <v>125</v>
      </c>
      <c r="S11" t="s">
        <v>184</v>
      </c>
      <c r="W11" s="14" t="s">
        <v>134</v>
      </c>
      <c r="X11" s="14" t="s">
        <v>188</v>
      </c>
      <c r="Z11" s="14" t="s">
        <v>134</v>
      </c>
      <c r="AA11" s="14" t="s">
        <v>142</v>
      </c>
      <c r="AB11" s="14" t="s">
        <v>200</v>
      </c>
      <c r="AD11" t="s">
        <v>246</v>
      </c>
      <c r="AE11" t="s">
        <v>247</v>
      </c>
      <c r="AG11" s="14" t="s">
        <v>726</v>
      </c>
      <c r="AH11" s="14" t="s">
        <v>290</v>
      </c>
    </row>
    <row r="12" spans="2:34" x14ac:dyDescent="0.3">
      <c r="B12" t="s">
        <v>9</v>
      </c>
      <c r="C12" t="s">
        <v>18</v>
      </c>
      <c r="D12">
        <v>250</v>
      </c>
      <c r="E12">
        <v>5</v>
      </c>
      <c r="F12">
        <v>1</v>
      </c>
      <c r="G12">
        <v>0</v>
      </c>
      <c r="K12" s="14" t="s">
        <v>113</v>
      </c>
      <c r="L12" s="14" t="s">
        <v>116</v>
      </c>
      <c r="N12" t="s">
        <v>134</v>
      </c>
      <c r="O12" t="s">
        <v>142</v>
      </c>
      <c r="P12" t="s">
        <v>200</v>
      </c>
      <c r="Q12" t="s">
        <v>201</v>
      </c>
      <c r="R12">
        <v>75</v>
      </c>
      <c r="S12" t="s">
        <v>184</v>
      </c>
      <c r="W12" s="14" t="s">
        <v>134</v>
      </c>
      <c r="X12" s="14" t="s">
        <v>191</v>
      </c>
      <c r="Z12" s="14" t="s">
        <v>134</v>
      </c>
      <c r="AA12" s="14" t="s">
        <v>142</v>
      </c>
      <c r="AB12" s="14" t="s">
        <v>182</v>
      </c>
      <c r="AD12" t="s">
        <v>248</v>
      </c>
      <c r="AE12" t="s">
        <v>249</v>
      </c>
      <c r="AG12" s="14" t="s">
        <v>704</v>
      </c>
      <c r="AH12" s="14" t="s">
        <v>627</v>
      </c>
    </row>
    <row r="13" spans="2:34" x14ac:dyDescent="0.3">
      <c r="B13" t="s">
        <v>9</v>
      </c>
      <c r="C13" t="s">
        <v>19</v>
      </c>
      <c r="D13">
        <v>250</v>
      </c>
      <c r="E13">
        <v>5</v>
      </c>
      <c r="F13">
        <v>1</v>
      </c>
      <c r="G13">
        <v>0</v>
      </c>
      <c r="K13" s="14" t="s">
        <v>113</v>
      </c>
      <c r="L13" s="14" t="s">
        <v>117</v>
      </c>
      <c r="N13" t="s">
        <v>134</v>
      </c>
      <c r="O13" t="s">
        <v>188</v>
      </c>
      <c r="P13" t="s">
        <v>202</v>
      </c>
      <c r="Q13" t="s">
        <v>193</v>
      </c>
      <c r="R13">
        <v>100</v>
      </c>
      <c r="S13" t="s">
        <v>184</v>
      </c>
      <c r="W13" s="14" t="s">
        <v>134</v>
      </c>
      <c r="X13" s="14" t="s">
        <v>194</v>
      </c>
      <c r="Z13" s="14" t="s">
        <v>134</v>
      </c>
      <c r="AA13" s="14" t="s">
        <v>145</v>
      </c>
      <c r="AB13" s="14" t="s">
        <v>145</v>
      </c>
      <c r="AD13" t="s">
        <v>250</v>
      </c>
      <c r="AE13" t="s">
        <v>251</v>
      </c>
      <c r="AG13" s="14" t="s">
        <v>626</v>
      </c>
      <c r="AH13" s="14" t="s">
        <v>627</v>
      </c>
    </row>
    <row r="14" spans="2:34" x14ac:dyDescent="0.3">
      <c r="B14" t="s">
        <v>9</v>
      </c>
      <c r="C14" t="s">
        <v>20</v>
      </c>
      <c r="D14">
        <v>250</v>
      </c>
      <c r="E14">
        <v>5</v>
      </c>
      <c r="F14">
        <v>1</v>
      </c>
      <c r="G14">
        <v>0</v>
      </c>
      <c r="K14" s="14" t="s">
        <v>113</v>
      </c>
      <c r="L14" s="14" t="s">
        <v>114</v>
      </c>
      <c r="N14" t="s">
        <v>134</v>
      </c>
      <c r="O14" t="s">
        <v>191</v>
      </c>
      <c r="P14" t="s">
        <v>203</v>
      </c>
      <c r="Q14" t="s">
        <v>204</v>
      </c>
      <c r="R14">
        <v>110</v>
      </c>
      <c r="S14" t="s">
        <v>184</v>
      </c>
      <c r="W14" s="14" t="s">
        <v>134</v>
      </c>
      <c r="X14" s="14" t="s">
        <v>197</v>
      </c>
      <c r="Z14" s="14" t="s">
        <v>134</v>
      </c>
      <c r="AA14" s="14" t="s">
        <v>145</v>
      </c>
      <c r="AB14" s="14" t="s">
        <v>186</v>
      </c>
      <c r="AD14" t="s">
        <v>252</v>
      </c>
      <c r="AE14" t="s">
        <v>243</v>
      </c>
      <c r="AG14" s="14" t="s">
        <v>702</v>
      </c>
      <c r="AH14" s="14" t="s">
        <v>703</v>
      </c>
    </row>
    <row r="15" spans="2:34" x14ac:dyDescent="0.3">
      <c r="B15" t="s">
        <v>9</v>
      </c>
      <c r="C15" t="s">
        <v>21</v>
      </c>
      <c r="D15">
        <v>250</v>
      </c>
      <c r="E15">
        <v>5</v>
      </c>
      <c r="F15">
        <v>0</v>
      </c>
      <c r="G15">
        <v>0</v>
      </c>
      <c r="K15" s="14" t="s">
        <v>113</v>
      </c>
      <c r="L15" s="14" t="s">
        <v>115</v>
      </c>
      <c r="N15" t="s">
        <v>134</v>
      </c>
      <c r="O15" t="s">
        <v>194</v>
      </c>
      <c r="P15" t="s">
        <v>205</v>
      </c>
      <c r="Q15" t="s">
        <v>206</v>
      </c>
      <c r="R15">
        <v>120</v>
      </c>
      <c r="S15" t="s">
        <v>184</v>
      </c>
      <c r="W15" s="14" t="s">
        <v>9</v>
      </c>
      <c r="X15" s="14" t="s">
        <v>142</v>
      </c>
      <c r="Z15" s="14" t="s">
        <v>134</v>
      </c>
      <c r="AA15" s="14" t="s">
        <v>188</v>
      </c>
      <c r="AB15" s="14" t="s">
        <v>202</v>
      </c>
      <c r="AD15" t="s">
        <v>253</v>
      </c>
      <c r="AE15" t="s">
        <v>240</v>
      </c>
      <c r="AG15" s="14" t="s">
        <v>634</v>
      </c>
      <c r="AH15" s="14" t="s">
        <v>352</v>
      </c>
    </row>
    <row r="16" spans="2:34" x14ac:dyDescent="0.3">
      <c r="B16" t="s">
        <v>9</v>
      </c>
      <c r="C16" t="s">
        <v>22</v>
      </c>
      <c r="D16">
        <v>250</v>
      </c>
      <c r="E16">
        <v>5</v>
      </c>
      <c r="F16">
        <v>0</v>
      </c>
      <c r="G16">
        <v>0</v>
      </c>
      <c r="K16" s="14" t="s">
        <v>113</v>
      </c>
      <c r="L16" s="14" t="s">
        <v>120</v>
      </c>
      <c r="N16" t="s">
        <v>134</v>
      </c>
      <c r="O16" t="s">
        <v>197</v>
      </c>
      <c r="P16" t="s">
        <v>207</v>
      </c>
      <c r="Q16" t="s">
        <v>208</v>
      </c>
      <c r="R16">
        <v>125</v>
      </c>
      <c r="S16" t="s">
        <v>184</v>
      </c>
      <c r="W16" s="14" t="s">
        <v>9</v>
      </c>
      <c r="X16" s="14" t="s">
        <v>145</v>
      </c>
      <c r="Z16" s="14" t="s">
        <v>134</v>
      </c>
      <c r="AA16" s="14" t="s">
        <v>188</v>
      </c>
      <c r="AB16" s="14" t="s">
        <v>189</v>
      </c>
      <c r="AD16" t="s">
        <v>254</v>
      </c>
      <c r="AE16" t="s">
        <v>243</v>
      </c>
      <c r="AG16" s="14" t="s">
        <v>688</v>
      </c>
      <c r="AH16" s="14" t="s">
        <v>352</v>
      </c>
    </row>
    <row r="17" spans="2:34" x14ac:dyDescent="0.3">
      <c r="B17" t="s">
        <v>9</v>
      </c>
      <c r="C17" t="s">
        <v>23</v>
      </c>
      <c r="D17">
        <v>250</v>
      </c>
      <c r="E17">
        <v>5</v>
      </c>
      <c r="F17">
        <v>1</v>
      </c>
      <c r="G17">
        <v>0</v>
      </c>
      <c r="K17" s="14" t="s">
        <v>113</v>
      </c>
      <c r="L17" s="14" t="s">
        <v>121</v>
      </c>
      <c r="N17" t="s">
        <v>9</v>
      </c>
      <c r="O17" t="s">
        <v>142</v>
      </c>
      <c r="P17" t="s">
        <v>209</v>
      </c>
      <c r="Q17" t="s">
        <v>183</v>
      </c>
      <c r="R17">
        <v>50</v>
      </c>
      <c r="S17" t="s">
        <v>184</v>
      </c>
      <c r="Z17" s="14" t="s">
        <v>134</v>
      </c>
      <c r="AA17" s="14" t="s">
        <v>191</v>
      </c>
      <c r="AB17" s="14" t="s">
        <v>203</v>
      </c>
      <c r="AD17" t="s">
        <v>255</v>
      </c>
      <c r="AE17" t="s">
        <v>243</v>
      </c>
      <c r="AG17" s="14" t="s">
        <v>370</v>
      </c>
      <c r="AH17" s="14" t="s">
        <v>352</v>
      </c>
    </row>
    <row r="18" spans="2:34" x14ac:dyDescent="0.3">
      <c r="B18" t="s">
        <v>9</v>
      </c>
      <c r="C18" t="s">
        <v>24</v>
      </c>
      <c r="D18">
        <v>250</v>
      </c>
      <c r="E18">
        <v>5</v>
      </c>
      <c r="F18">
        <v>1</v>
      </c>
      <c r="G18">
        <v>0</v>
      </c>
      <c r="K18" s="14" t="s">
        <v>113</v>
      </c>
      <c r="L18" s="14" t="s">
        <v>118</v>
      </c>
      <c r="N18" t="s">
        <v>9</v>
      </c>
      <c r="O18" t="s">
        <v>142</v>
      </c>
      <c r="P18" t="s">
        <v>210</v>
      </c>
      <c r="Q18" t="s">
        <v>183</v>
      </c>
      <c r="R18">
        <v>50</v>
      </c>
      <c r="S18" t="s">
        <v>184</v>
      </c>
      <c r="Z18" s="14" t="s">
        <v>134</v>
      </c>
      <c r="AA18" s="14" t="s">
        <v>191</v>
      </c>
      <c r="AB18" s="14" t="s">
        <v>192</v>
      </c>
      <c r="AD18" t="s">
        <v>256</v>
      </c>
      <c r="AE18" t="s">
        <v>243</v>
      </c>
      <c r="AG18" s="14" t="s">
        <v>351</v>
      </c>
      <c r="AH18" s="14" t="s">
        <v>352</v>
      </c>
    </row>
    <row r="19" spans="2:34" x14ac:dyDescent="0.3">
      <c r="B19" t="s">
        <v>9</v>
      </c>
      <c r="C19" t="s">
        <v>25</v>
      </c>
      <c r="D19">
        <v>250</v>
      </c>
      <c r="E19">
        <v>5</v>
      </c>
      <c r="F19">
        <v>1</v>
      </c>
      <c r="G19">
        <v>1</v>
      </c>
      <c r="K19" s="14" t="s">
        <v>113</v>
      </c>
      <c r="L19" s="14" t="s">
        <v>119</v>
      </c>
      <c r="N19" t="s">
        <v>9</v>
      </c>
      <c r="O19" t="s">
        <v>142</v>
      </c>
      <c r="P19" t="s">
        <v>211</v>
      </c>
      <c r="Q19" t="s">
        <v>185</v>
      </c>
      <c r="R19">
        <v>30</v>
      </c>
      <c r="S19" t="s">
        <v>184</v>
      </c>
      <c r="Z19" s="14" t="s">
        <v>134</v>
      </c>
      <c r="AA19" s="14" t="s">
        <v>194</v>
      </c>
      <c r="AB19" s="14" t="s">
        <v>205</v>
      </c>
      <c r="AD19" t="s">
        <v>257</v>
      </c>
      <c r="AE19" t="s">
        <v>258</v>
      </c>
      <c r="AG19" s="14" t="s">
        <v>367</v>
      </c>
      <c r="AH19" s="14" t="s">
        <v>352</v>
      </c>
    </row>
    <row r="20" spans="2:34" x14ac:dyDescent="0.3">
      <c r="B20" t="s">
        <v>9</v>
      </c>
      <c r="C20" t="s">
        <v>26</v>
      </c>
      <c r="D20">
        <v>250</v>
      </c>
      <c r="E20">
        <v>5</v>
      </c>
      <c r="F20">
        <v>0</v>
      </c>
      <c r="G20">
        <v>0</v>
      </c>
      <c r="K20" s="14" t="s">
        <v>113</v>
      </c>
      <c r="L20" s="14" t="s">
        <v>133</v>
      </c>
      <c r="N20" t="s">
        <v>9</v>
      </c>
      <c r="O20" t="s">
        <v>142</v>
      </c>
      <c r="P20" t="s">
        <v>212</v>
      </c>
      <c r="Q20" t="s">
        <v>185</v>
      </c>
      <c r="R20">
        <v>40</v>
      </c>
      <c r="S20" t="s">
        <v>184</v>
      </c>
      <c r="Z20" s="14" t="s">
        <v>134</v>
      </c>
      <c r="AA20" s="14" t="s">
        <v>194</v>
      </c>
      <c r="AB20" s="14" t="s">
        <v>195</v>
      </c>
      <c r="AD20" t="s">
        <v>259</v>
      </c>
      <c r="AE20" t="s">
        <v>260</v>
      </c>
      <c r="AG20" s="14" t="s">
        <v>353</v>
      </c>
      <c r="AH20" s="14" t="s">
        <v>352</v>
      </c>
    </row>
    <row r="21" spans="2:34" x14ac:dyDescent="0.3">
      <c r="B21" t="s">
        <v>9</v>
      </c>
      <c r="C21" t="s">
        <v>27</v>
      </c>
      <c r="D21">
        <v>250</v>
      </c>
      <c r="E21">
        <v>5</v>
      </c>
      <c r="F21">
        <v>1</v>
      </c>
      <c r="G21">
        <v>0</v>
      </c>
      <c r="K21" s="14" t="s">
        <v>113</v>
      </c>
      <c r="L21" s="14" t="s">
        <v>160</v>
      </c>
      <c r="N21" t="s">
        <v>9</v>
      </c>
      <c r="O21" t="s">
        <v>142</v>
      </c>
      <c r="P21" t="s">
        <v>213</v>
      </c>
      <c r="Q21" t="s">
        <v>185</v>
      </c>
      <c r="R21">
        <v>65</v>
      </c>
      <c r="S21" t="s">
        <v>184</v>
      </c>
      <c r="Z21" s="14" t="s">
        <v>134</v>
      </c>
      <c r="AA21" s="14" t="s">
        <v>197</v>
      </c>
      <c r="AB21" s="14" t="s">
        <v>207</v>
      </c>
      <c r="AD21" t="s">
        <v>261</v>
      </c>
      <c r="AE21" t="s">
        <v>260</v>
      </c>
      <c r="AG21" s="14" t="s">
        <v>701</v>
      </c>
      <c r="AH21" s="14" t="s">
        <v>352</v>
      </c>
    </row>
    <row r="22" spans="2:34" x14ac:dyDescent="0.3">
      <c r="B22" t="s">
        <v>9</v>
      </c>
      <c r="C22" t="s">
        <v>28</v>
      </c>
      <c r="D22">
        <v>250</v>
      </c>
      <c r="E22">
        <v>5</v>
      </c>
      <c r="F22">
        <v>1</v>
      </c>
      <c r="G22">
        <v>0</v>
      </c>
      <c r="K22" s="14" t="s">
        <v>113</v>
      </c>
      <c r="L22" s="14" t="s">
        <v>161</v>
      </c>
      <c r="N22" t="s">
        <v>134</v>
      </c>
      <c r="O22" t="s">
        <v>142</v>
      </c>
      <c r="P22" t="s">
        <v>142</v>
      </c>
      <c r="Q22" t="s">
        <v>187</v>
      </c>
      <c r="R22">
        <v>75</v>
      </c>
      <c r="S22" t="s">
        <v>181</v>
      </c>
      <c r="Z22" s="14" t="s">
        <v>134</v>
      </c>
      <c r="AA22" s="14" t="s">
        <v>197</v>
      </c>
      <c r="AB22" s="14" t="s">
        <v>198</v>
      </c>
      <c r="AD22" t="s">
        <v>262</v>
      </c>
      <c r="AE22" t="s">
        <v>263</v>
      </c>
      <c r="AG22" s="14" t="s">
        <v>495</v>
      </c>
      <c r="AH22" s="14" t="s">
        <v>352</v>
      </c>
    </row>
    <row r="23" spans="2:34" x14ac:dyDescent="0.3">
      <c r="B23" t="s">
        <v>9</v>
      </c>
      <c r="C23" t="s">
        <v>29</v>
      </c>
      <c r="D23">
        <v>250</v>
      </c>
      <c r="E23">
        <v>5</v>
      </c>
      <c r="F23">
        <v>1</v>
      </c>
      <c r="G23">
        <v>0</v>
      </c>
      <c r="K23" s="14" t="s">
        <v>113</v>
      </c>
      <c r="L23" s="14" t="s">
        <v>132</v>
      </c>
      <c r="N23" t="s">
        <v>134</v>
      </c>
      <c r="O23" t="s">
        <v>145</v>
      </c>
      <c r="P23" t="s">
        <v>145</v>
      </c>
      <c r="Q23" t="s">
        <v>190</v>
      </c>
      <c r="R23">
        <v>90</v>
      </c>
      <c r="S23" t="s">
        <v>181</v>
      </c>
      <c r="Z23" s="14" t="s">
        <v>9</v>
      </c>
      <c r="AA23" s="14" t="s">
        <v>142</v>
      </c>
      <c r="AB23" s="14" t="s">
        <v>142</v>
      </c>
      <c r="AD23" t="s">
        <v>264</v>
      </c>
      <c r="AE23" t="s">
        <v>265</v>
      </c>
      <c r="AG23" s="14" t="s">
        <v>815</v>
      </c>
      <c r="AH23" s="14" t="s">
        <v>352</v>
      </c>
    </row>
    <row r="24" spans="2:34" x14ac:dyDescent="0.3">
      <c r="B24" t="s">
        <v>9</v>
      </c>
      <c r="C24" t="s">
        <v>30</v>
      </c>
      <c r="D24">
        <v>250</v>
      </c>
      <c r="E24">
        <v>5</v>
      </c>
      <c r="F24">
        <v>0</v>
      </c>
      <c r="G24">
        <v>0</v>
      </c>
      <c r="K24" s="14" t="s">
        <v>113</v>
      </c>
      <c r="L24" s="14" t="s">
        <v>130</v>
      </c>
      <c r="N24" t="s">
        <v>9</v>
      </c>
      <c r="O24" t="s">
        <v>142</v>
      </c>
      <c r="P24" t="s">
        <v>214</v>
      </c>
      <c r="Q24" t="s">
        <v>183</v>
      </c>
      <c r="R24">
        <v>50</v>
      </c>
      <c r="S24" t="s">
        <v>184</v>
      </c>
      <c r="Z24" s="14" t="s">
        <v>9</v>
      </c>
      <c r="AA24" s="14" t="s">
        <v>142</v>
      </c>
      <c r="AB24" s="14" t="s">
        <v>211</v>
      </c>
      <c r="AD24" t="s">
        <v>266</v>
      </c>
      <c r="AE24" t="s">
        <v>265</v>
      </c>
      <c r="AG24" s="14" t="s">
        <v>643</v>
      </c>
      <c r="AH24" s="14" t="s">
        <v>352</v>
      </c>
    </row>
    <row r="25" spans="2:34" x14ac:dyDescent="0.3">
      <c r="B25" t="s">
        <v>9</v>
      </c>
      <c r="C25" t="s">
        <v>31</v>
      </c>
      <c r="D25">
        <v>250</v>
      </c>
      <c r="E25">
        <v>5</v>
      </c>
      <c r="F25">
        <v>0</v>
      </c>
      <c r="G25">
        <v>0</v>
      </c>
      <c r="K25" s="14" t="s">
        <v>113</v>
      </c>
      <c r="L25" s="14" t="s">
        <v>177</v>
      </c>
      <c r="N25" t="s">
        <v>9</v>
      </c>
      <c r="O25" t="s">
        <v>142</v>
      </c>
      <c r="P25" t="s">
        <v>142</v>
      </c>
      <c r="Q25" t="s">
        <v>215</v>
      </c>
      <c r="R25">
        <v>50</v>
      </c>
      <c r="S25" t="s">
        <v>181</v>
      </c>
      <c r="Z25" s="14" t="s">
        <v>9</v>
      </c>
      <c r="AA25" s="14" t="s">
        <v>142</v>
      </c>
      <c r="AB25" s="14" t="s">
        <v>212</v>
      </c>
      <c r="AD25" t="s">
        <v>267</v>
      </c>
      <c r="AE25" t="s">
        <v>268</v>
      </c>
      <c r="AG25" s="14" t="s">
        <v>919</v>
      </c>
      <c r="AH25" s="14" t="s">
        <v>352</v>
      </c>
    </row>
    <row r="26" spans="2:34" x14ac:dyDescent="0.3">
      <c r="B26" t="s">
        <v>9</v>
      </c>
      <c r="C26" t="s">
        <v>32</v>
      </c>
      <c r="D26">
        <v>249</v>
      </c>
      <c r="E26">
        <v>5</v>
      </c>
      <c r="F26">
        <v>1</v>
      </c>
      <c r="G26">
        <v>0</v>
      </c>
      <c r="K26" s="14" t="s">
        <v>113</v>
      </c>
      <c r="L26" s="14" t="s">
        <v>131</v>
      </c>
      <c r="N26" t="s">
        <v>9</v>
      </c>
      <c r="O26" t="s">
        <v>142</v>
      </c>
      <c r="P26" t="s">
        <v>216</v>
      </c>
      <c r="Q26" t="s">
        <v>183</v>
      </c>
      <c r="R26">
        <v>46</v>
      </c>
      <c r="S26" t="s">
        <v>184</v>
      </c>
      <c r="Z26" s="14" t="s">
        <v>9</v>
      </c>
      <c r="AA26" s="14" t="s">
        <v>142</v>
      </c>
      <c r="AB26" s="14" t="s">
        <v>214</v>
      </c>
      <c r="AD26" t="s">
        <v>269</v>
      </c>
      <c r="AE26" t="s">
        <v>270</v>
      </c>
      <c r="AG26" s="14" t="s">
        <v>675</v>
      </c>
      <c r="AH26" s="14" t="s">
        <v>352</v>
      </c>
    </row>
    <row r="27" spans="2:34" x14ac:dyDescent="0.3">
      <c r="B27" t="s">
        <v>9</v>
      </c>
      <c r="C27" t="s">
        <v>33</v>
      </c>
      <c r="D27">
        <v>249</v>
      </c>
      <c r="E27">
        <v>5</v>
      </c>
      <c r="F27">
        <v>0</v>
      </c>
      <c r="G27">
        <v>0</v>
      </c>
      <c r="K27" s="14" t="s">
        <v>134</v>
      </c>
      <c r="L27" s="14" t="s">
        <v>140</v>
      </c>
      <c r="N27" t="s">
        <v>146</v>
      </c>
      <c r="O27" t="s">
        <v>142</v>
      </c>
      <c r="P27" t="s">
        <v>142</v>
      </c>
      <c r="Q27" t="s">
        <v>193</v>
      </c>
      <c r="R27">
        <v>100</v>
      </c>
      <c r="S27" t="s">
        <v>181</v>
      </c>
      <c r="Z27" s="14" t="s">
        <v>9</v>
      </c>
      <c r="AA27" s="14" t="s">
        <v>142</v>
      </c>
      <c r="AB27" s="14" t="s">
        <v>213</v>
      </c>
      <c r="AD27" t="s">
        <v>271</v>
      </c>
      <c r="AE27" t="s">
        <v>272</v>
      </c>
      <c r="AG27" s="14" t="s">
        <v>484</v>
      </c>
      <c r="AH27" s="14" t="s">
        <v>352</v>
      </c>
    </row>
    <row r="28" spans="2:34" x14ac:dyDescent="0.3">
      <c r="B28" t="s">
        <v>9</v>
      </c>
      <c r="C28" t="s">
        <v>34</v>
      </c>
      <c r="D28">
        <v>250</v>
      </c>
      <c r="E28">
        <v>5</v>
      </c>
      <c r="F28">
        <v>1</v>
      </c>
      <c r="G28">
        <v>0</v>
      </c>
      <c r="K28" s="14" t="s">
        <v>134</v>
      </c>
      <c r="L28" s="14" t="s">
        <v>136</v>
      </c>
      <c r="N28" t="s">
        <v>146</v>
      </c>
      <c r="O28" t="s">
        <v>145</v>
      </c>
      <c r="P28" t="s">
        <v>145</v>
      </c>
      <c r="Q28" t="s">
        <v>196</v>
      </c>
      <c r="R28">
        <v>110</v>
      </c>
      <c r="S28" t="s">
        <v>181</v>
      </c>
      <c r="Z28" s="14" t="s">
        <v>9</v>
      </c>
      <c r="AA28" s="14" t="s">
        <v>142</v>
      </c>
      <c r="AB28" s="14" t="s">
        <v>210</v>
      </c>
      <c r="AD28" t="s">
        <v>273</v>
      </c>
      <c r="AE28" t="s">
        <v>258</v>
      </c>
      <c r="AG28" s="14" t="s">
        <v>707</v>
      </c>
      <c r="AH28" s="14" t="s">
        <v>352</v>
      </c>
    </row>
    <row r="29" spans="2:34" x14ac:dyDescent="0.3">
      <c r="B29" t="s">
        <v>9</v>
      </c>
      <c r="C29" t="s">
        <v>35</v>
      </c>
      <c r="D29">
        <v>250</v>
      </c>
      <c r="E29">
        <v>5</v>
      </c>
      <c r="F29">
        <v>1</v>
      </c>
      <c r="G29">
        <v>0</v>
      </c>
      <c r="K29" s="14" t="s">
        <v>134</v>
      </c>
      <c r="L29" s="14" t="s">
        <v>139</v>
      </c>
      <c r="N29" t="s">
        <v>147</v>
      </c>
      <c r="O29" t="s">
        <v>142</v>
      </c>
      <c r="P29" t="s">
        <v>142</v>
      </c>
      <c r="Q29" t="s">
        <v>199</v>
      </c>
      <c r="R29">
        <v>120</v>
      </c>
      <c r="S29" t="s">
        <v>181</v>
      </c>
      <c r="Z29" s="14" t="s">
        <v>9</v>
      </c>
      <c r="AA29" s="14" t="s">
        <v>142</v>
      </c>
      <c r="AB29" s="14" t="s">
        <v>216</v>
      </c>
      <c r="AD29" t="s">
        <v>274</v>
      </c>
      <c r="AE29" t="s">
        <v>258</v>
      </c>
      <c r="AG29" s="14" t="s">
        <v>1019</v>
      </c>
      <c r="AH29" s="14" t="s">
        <v>352</v>
      </c>
    </row>
    <row r="30" spans="2:34" x14ac:dyDescent="0.3">
      <c r="B30" t="s">
        <v>9</v>
      </c>
      <c r="C30" t="s">
        <v>36</v>
      </c>
      <c r="D30">
        <v>250</v>
      </c>
      <c r="E30">
        <v>5</v>
      </c>
      <c r="F30">
        <v>0</v>
      </c>
      <c r="G30">
        <v>0</v>
      </c>
      <c r="K30" s="14" t="s">
        <v>134</v>
      </c>
      <c r="L30" s="14" t="s">
        <v>137</v>
      </c>
      <c r="N30" t="s">
        <v>147</v>
      </c>
      <c r="O30" t="s">
        <v>145</v>
      </c>
      <c r="P30" t="s">
        <v>145</v>
      </c>
      <c r="Q30" t="s">
        <v>217</v>
      </c>
      <c r="R30">
        <v>125</v>
      </c>
      <c r="S30" t="s">
        <v>181</v>
      </c>
      <c r="Z30" s="14" t="s">
        <v>9</v>
      </c>
      <c r="AA30" s="14" t="s">
        <v>142</v>
      </c>
      <c r="AB30" s="14" t="s">
        <v>209</v>
      </c>
      <c r="AD30" t="s">
        <v>275</v>
      </c>
      <c r="AE30" t="s">
        <v>276</v>
      </c>
      <c r="AG30" s="14" t="s">
        <v>932</v>
      </c>
      <c r="AH30" s="14" t="s">
        <v>343</v>
      </c>
    </row>
    <row r="31" spans="2:34" x14ac:dyDescent="0.3">
      <c r="B31" t="s">
        <v>9</v>
      </c>
      <c r="C31" t="s">
        <v>37</v>
      </c>
      <c r="D31">
        <v>250</v>
      </c>
      <c r="E31">
        <v>5</v>
      </c>
      <c r="F31">
        <v>2</v>
      </c>
      <c r="G31">
        <v>0</v>
      </c>
      <c r="K31" s="14" t="s">
        <v>134</v>
      </c>
      <c r="L31" s="14" t="s">
        <v>135</v>
      </c>
      <c r="N31" t="s">
        <v>9</v>
      </c>
      <c r="O31" t="s">
        <v>145</v>
      </c>
      <c r="P31" t="s">
        <v>145</v>
      </c>
      <c r="Q31" t="s">
        <v>218</v>
      </c>
      <c r="R31">
        <v>55</v>
      </c>
      <c r="S31" t="s">
        <v>181</v>
      </c>
      <c r="Z31" s="14" t="s">
        <v>9</v>
      </c>
      <c r="AA31" s="14" t="s">
        <v>142</v>
      </c>
      <c r="AB31" s="14" t="s">
        <v>182</v>
      </c>
      <c r="AD31" t="s">
        <v>277</v>
      </c>
      <c r="AE31" t="s">
        <v>278</v>
      </c>
      <c r="AG31" s="14" t="s">
        <v>799</v>
      </c>
      <c r="AH31" s="14" t="s">
        <v>343</v>
      </c>
    </row>
    <row r="32" spans="2:34" x14ac:dyDescent="0.3">
      <c r="B32" t="s">
        <v>9</v>
      </c>
      <c r="C32" t="s">
        <v>38</v>
      </c>
      <c r="D32">
        <v>200</v>
      </c>
      <c r="E32">
        <v>4</v>
      </c>
      <c r="F32">
        <v>1</v>
      </c>
      <c r="G32">
        <v>0</v>
      </c>
      <c r="K32" s="14" t="s">
        <v>134</v>
      </c>
      <c r="L32" s="14" t="s">
        <v>138</v>
      </c>
      <c r="N32" t="s">
        <v>9</v>
      </c>
      <c r="O32" t="s">
        <v>145</v>
      </c>
      <c r="P32" t="s">
        <v>219</v>
      </c>
      <c r="Q32" t="s">
        <v>218</v>
      </c>
      <c r="R32">
        <v>55</v>
      </c>
      <c r="S32" t="s">
        <v>184</v>
      </c>
      <c r="Z32" s="14" t="s">
        <v>9</v>
      </c>
      <c r="AA32" s="14" t="s">
        <v>145</v>
      </c>
      <c r="AB32" s="14" t="s">
        <v>145</v>
      </c>
      <c r="AD32" t="s">
        <v>279</v>
      </c>
      <c r="AE32" t="s">
        <v>258</v>
      </c>
      <c r="AG32" s="14" t="s">
        <v>509</v>
      </c>
      <c r="AH32" s="14" t="s">
        <v>343</v>
      </c>
    </row>
    <row r="33" spans="2:34" x14ac:dyDescent="0.3">
      <c r="B33" t="s">
        <v>9</v>
      </c>
      <c r="C33" t="s">
        <v>39</v>
      </c>
      <c r="D33">
        <v>200</v>
      </c>
      <c r="E33">
        <v>4</v>
      </c>
      <c r="F33">
        <v>1</v>
      </c>
      <c r="G33">
        <v>0</v>
      </c>
      <c r="K33" s="14" t="s">
        <v>9</v>
      </c>
      <c r="L33" s="14" t="s">
        <v>45</v>
      </c>
      <c r="N33" t="s">
        <v>9</v>
      </c>
      <c r="O33" t="s">
        <v>145</v>
      </c>
      <c r="P33" t="s">
        <v>220</v>
      </c>
      <c r="Q33" t="s">
        <v>218</v>
      </c>
      <c r="R33">
        <v>55</v>
      </c>
      <c r="S33" t="s">
        <v>184</v>
      </c>
      <c r="Z33" s="14" t="s">
        <v>9</v>
      </c>
      <c r="AA33" s="14" t="s">
        <v>145</v>
      </c>
      <c r="AB33" s="14" t="s">
        <v>219</v>
      </c>
      <c r="AD33" t="s">
        <v>280</v>
      </c>
      <c r="AE33" t="s">
        <v>281</v>
      </c>
      <c r="AG33" s="14" t="s">
        <v>383</v>
      </c>
      <c r="AH33" s="14" t="s">
        <v>343</v>
      </c>
    </row>
    <row r="34" spans="2:34" x14ac:dyDescent="0.3">
      <c r="B34" t="s">
        <v>9</v>
      </c>
      <c r="C34" t="s">
        <v>40</v>
      </c>
      <c r="D34">
        <v>200</v>
      </c>
      <c r="E34">
        <v>4</v>
      </c>
      <c r="F34">
        <v>1</v>
      </c>
      <c r="G34">
        <v>0</v>
      </c>
      <c r="K34" s="14" t="s">
        <v>9</v>
      </c>
      <c r="L34" s="14" t="s">
        <v>25</v>
      </c>
      <c r="N34" t="s">
        <v>9</v>
      </c>
      <c r="O34" t="s">
        <v>145</v>
      </c>
      <c r="P34" t="s">
        <v>221</v>
      </c>
      <c r="Q34" t="s">
        <v>218</v>
      </c>
      <c r="R34">
        <v>55</v>
      </c>
      <c r="S34" t="s">
        <v>184</v>
      </c>
      <c r="Z34" s="14" t="s">
        <v>9</v>
      </c>
      <c r="AA34" s="14" t="s">
        <v>145</v>
      </c>
      <c r="AB34" s="14" t="s">
        <v>220</v>
      </c>
      <c r="AD34" t="s">
        <v>282</v>
      </c>
      <c r="AE34" t="s">
        <v>258</v>
      </c>
      <c r="AG34" s="14" t="s">
        <v>378</v>
      </c>
      <c r="AH34" s="14" t="s">
        <v>343</v>
      </c>
    </row>
    <row r="35" spans="2:34" x14ac:dyDescent="0.3">
      <c r="B35" t="s">
        <v>9</v>
      </c>
      <c r="C35" t="s">
        <v>41</v>
      </c>
      <c r="D35">
        <v>200</v>
      </c>
      <c r="E35">
        <v>4</v>
      </c>
      <c r="F35">
        <v>1</v>
      </c>
      <c r="G35">
        <v>0</v>
      </c>
      <c r="K35" s="14" t="s">
        <v>9</v>
      </c>
      <c r="L35" s="14" t="s">
        <v>14</v>
      </c>
      <c r="N35" t="s">
        <v>9</v>
      </c>
      <c r="O35" t="s">
        <v>145</v>
      </c>
      <c r="P35" t="s">
        <v>222</v>
      </c>
      <c r="Q35" t="s">
        <v>218</v>
      </c>
      <c r="R35">
        <v>55</v>
      </c>
      <c r="S35" t="s">
        <v>184</v>
      </c>
      <c r="Z35" s="14" t="s">
        <v>9</v>
      </c>
      <c r="AA35" s="14" t="s">
        <v>145</v>
      </c>
      <c r="AB35" s="14" t="s">
        <v>221</v>
      </c>
      <c r="AD35" t="s">
        <v>283</v>
      </c>
      <c r="AE35" t="s">
        <v>284</v>
      </c>
      <c r="AG35" s="14" t="s">
        <v>342</v>
      </c>
      <c r="AH35" s="14" t="s">
        <v>343</v>
      </c>
    </row>
    <row r="36" spans="2:34" x14ac:dyDescent="0.3">
      <c r="B36" t="s">
        <v>9</v>
      </c>
      <c r="C36" t="s">
        <v>42</v>
      </c>
      <c r="D36">
        <v>200</v>
      </c>
      <c r="E36">
        <v>4</v>
      </c>
      <c r="F36">
        <v>0</v>
      </c>
      <c r="G36">
        <v>0</v>
      </c>
      <c r="K36" s="14" t="s">
        <v>9</v>
      </c>
      <c r="L36" s="14" t="s">
        <v>89</v>
      </c>
      <c r="N36" t="s">
        <v>9</v>
      </c>
      <c r="O36" t="s">
        <v>145</v>
      </c>
      <c r="P36" t="s">
        <v>223</v>
      </c>
      <c r="Q36" t="s">
        <v>218</v>
      </c>
      <c r="R36">
        <v>55</v>
      </c>
      <c r="S36" t="s">
        <v>184</v>
      </c>
      <c r="Z36" s="14" t="s">
        <v>9</v>
      </c>
      <c r="AA36" s="14" t="s">
        <v>145</v>
      </c>
      <c r="AB36" s="14" t="s">
        <v>222</v>
      </c>
      <c r="AD36" t="s">
        <v>285</v>
      </c>
      <c r="AE36" t="s">
        <v>258</v>
      </c>
      <c r="AG36" s="14" t="s">
        <v>392</v>
      </c>
      <c r="AH36" s="14" t="s">
        <v>343</v>
      </c>
    </row>
    <row r="37" spans="2:34" x14ac:dyDescent="0.3">
      <c r="B37" t="s">
        <v>9</v>
      </c>
      <c r="C37" t="s">
        <v>43</v>
      </c>
      <c r="D37">
        <v>200</v>
      </c>
      <c r="E37">
        <v>4</v>
      </c>
      <c r="F37">
        <v>0</v>
      </c>
      <c r="G37">
        <v>0</v>
      </c>
      <c r="K37" s="14" t="s">
        <v>9</v>
      </c>
      <c r="L37" s="14" t="s">
        <v>90</v>
      </c>
      <c r="N37" t="s">
        <v>113</v>
      </c>
      <c r="O37" t="s">
        <v>145</v>
      </c>
      <c r="P37" t="s">
        <v>224</v>
      </c>
      <c r="Q37" t="s">
        <v>180</v>
      </c>
      <c r="R37">
        <v>42</v>
      </c>
      <c r="S37" t="s">
        <v>184</v>
      </c>
      <c r="Z37" s="14" t="s">
        <v>9</v>
      </c>
      <c r="AA37" s="14" t="s">
        <v>145</v>
      </c>
      <c r="AB37" s="14" t="s">
        <v>223</v>
      </c>
      <c r="AD37" t="s">
        <v>286</v>
      </c>
      <c r="AE37" t="s">
        <v>258</v>
      </c>
      <c r="AG37" s="14" t="s">
        <v>476</v>
      </c>
      <c r="AH37" s="14" t="s">
        <v>343</v>
      </c>
    </row>
    <row r="38" spans="2:34" x14ac:dyDescent="0.3">
      <c r="B38" t="s">
        <v>9</v>
      </c>
      <c r="C38" t="s">
        <v>44</v>
      </c>
      <c r="D38">
        <v>200</v>
      </c>
      <c r="E38">
        <v>4</v>
      </c>
      <c r="F38">
        <v>1</v>
      </c>
      <c r="G38">
        <v>0</v>
      </c>
      <c r="K38" s="14" t="s">
        <v>9</v>
      </c>
      <c r="L38" s="14" t="s">
        <v>87</v>
      </c>
      <c r="AD38" t="s">
        <v>287</v>
      </c>
      <c r="AE38" t="s">
        <v>258</v>
      </c>
      <c r="AG38" s="14" t="s">
        <v>989</v>
      </c>
      <c r="AH38" s="14" t="s">
        <v>343</v>
      </c>
    </row>
    <row r="39" spans="2:34" x14ac:dyDescent="0.3">
      <c r="B39" t="s">
        <v>9</v>
      </c>
      <c r="C39" t="s">
        <v>45</v>
      </c>
      <c r="D39">
        <v>200</v>
      </c>
      <c r="E39">
        <v>4</v>
      </c>
      <c r="F39">
        <v>1</v>
      </c>
      <c r="G39">
        <v>1</v>
      </c>
      <c r="K39" s="14" t="s">
        <v>9</v>
      </c>
      <c r="L39" s="14" t="s">
        <v>88</v>
      </c>
      <c r="AD39" t="s">
        <v>288</v>
      </c>
      <c r="AE39" t="s">
        <v>243</v>
      </c>
      <c r="AG39" s="14" t="s">
        <v>549</v>
      </c>
      <c r="AH39" s="14" t="s">
        <v>343</v>
      </c>
    </row>
    <row r="40" spans="2:34" x14ac:dyDescent="0.3">
      <c r="B40" t="s">
        <v>9</v>
      </c>
      <c r="C40" t="s">
        <v>46</v>
      </c>
      <c r="D40">
        <v>200</v>
      </c>
      <c r="E40">
        <v>4</v>
      </c>
      <c r="F40">
        <v>0</v>
      </c>
      <c r="G40">
        <v>0</v>
      </c>
      <c r="K40" s="14" t="s">
        <v>9</v>
      </c>
      <c r="L40" s="14" t="s">
        <v>91</v>
      </c>
      <c r="AD40" t="s">
        <v>289</v>
      </c>
      <c r="AE40" t="s">
        <v>290</v>
      </c>
      <c r="AG40" s="14" t="s">
        <v>471</v>
      </c>
      <c r="AH40" s="14" t="s">
        <v>343</v>
      </c>
    </row>
    <row r="41" spans="2:34" x14ac:dyDescent="0.3">
      <c r="B41" t="s">
        <v>9</v>
      </c>
      <c r="C41" t="s">
        <v>47</v>
      </c>
      <c r="D41">
        <v>200</v>
      </c>
      <c r="E41">
        <v>4</v>
      </c>
      <c r="F41">
        <v>0</v>
      </c>
      <c r="G41">
        <v>0</v>
      </c>
      <c r="K41" s="14" t="s">
        <v>9</v>
      </c>
      <c r="L41" s="14" t="s">
        <v>93</v>
      </c>
      <c r="AD41" t="s">
        <v>291</v>
      </c>
      <c r="AE41" t="s">
        <v>292</v>
      </c>
      <c r="AG41" s="14" t="s">
        <v>430</v>
      </c>
      <c r="AH41" s="14" t="s">
        <v>343</v>
      </c>
    </row>
    <row r="42" spans="2:34" x14ac:dyDescent="0.3">
      <c r="B42" t="s">
        <v>9</v>
      </c>
      <c r="C42" t="s">
        <v>48</v>
      </c>
      <c r="D42">
        <v>200</v>
      </c>
      <c r="E42">
        <v>4</v>
      </c>
      <c r="F42">
        <v>1</v>
      </c>
      <c r="G42">
        <v>0</v>
      </c>
      <c r="K42" s="14" t="s">
        <v>9</v>
      </c>
      <c r="L42" s="14" t="s">
        <v>94</v>
      </c>
      <c r="AD42" t="s">
        <v>293</v>
      </c>
      <c r="AE42" t="s">
        <v>258</v>
      </c>
      <c r="AG42" s="14" t="s">
        <v>782</v>
      </c>
      <c r="AH42" s="14" t="s">
        <v>343</v>
      </c>
    </row>
    <row r="43" spans="2:34" x14ac:dyDescent="0.3">
      <c r="B43" t="s">
        <v>9</v>
      </c>
      <c r="C43" t="s">
        <v>49</v>
      </c>
      <c r="D43">
        <v>200</v>
      </c>
      <c r="E43">
        <v>4</v>
      </c>
      <c r="F43">
        <v>1</v>
      </c>
      <c r="G43">
        <v>0</v>
      </c>
      <c r="K43" s="14" t="s">
        <v>9</v>
      </c>
      <c r="L43" s="14" t="s">
        <v>95</v>
      </c>
      <c r="AD43" t="s">
        <v>294</v>
      </c>
      <c r="AE43" t="s">
        <v>258</v>
      </c>
      <c r="AG43" s="14" t="s">
        <v>740</v>
      </c>
      <c r="AH43" s="14" t="s">
        <v>343</v>
      </c>
    </row>
    <row r="44" spans="2:34" x14ac:dyDescent="0.3">
      <c r="B44" t="s">
        <v>9</v>
      </c>
      <c r="C44" t="s">
        <v>50</v>
      </c>
      <c r="D44">
        <v>200</v>
      </c>
      <c r="E44">
        <v>4</v>
      </c>
      <c r="F44">
        <v>1</v>
      </c>
      <c r="G44">
        <v>0</v>
      </c>
      <c r="K44" s="14" t="s">
        <v>9</v>
      </c>
      <c r="L44" s="14" t="s">
        <v>92</v>
      </c>
      <c r="AD44" t="s">
        <v>295</v>
      </c>
      <c r="AE44" t="s">
        <v>247</v>
      </c>
      <c r="AG44" s="14" t="s">
        <v>374</v>
      </c>
      <c r="AH44" s="14" t="s">
        <v>343</v>
      </c>
    </row>
    <row r="45" spans="2:34" x14ac:dyDescent="0.3">
      <c r="B45" t="s">
        <v>9</v>
      </c>
      <c r="C45" t="s">
        <v>51</v>
      </c>
      <c r="D45">
        <v>200</v>
      </c>
      <c r="E45">
        <v>4</v>
      </c>
      <c r="F45">
        <v>0</v>
      </c>
      <c r="G45">
        <v>0</v>
      </c>
      <c r="K45" s="14" t="s">
        <v>9</v>
      </c>
      <c r="L45" s="14" t="s">
        <v>80</v>
      </c>
      <c r="AD45" t="s">
        <v>296</v>
      </c>
      <c r="AE45" t="s">
        <v>243</v>
      </c>
      <c r="AG45" s="14" t="s">
        <v>371</v>
      </c>
      <c r="AH45" s="14" t="s">
        <v>343</v>
      </c>
    </row>
    <row r="46" spans="2:34" x14ac:dyDescent="0.3">
      <c r="B46" t="s">
        <v>9</v>
      </c>
      <c r="C46" t="s">
        <v>52</v>
      </c>
      <c r="D46">
        <v>200</v>
      </c>
      <c r="E46">
        <v>4</v>
      </c>
      <c r="F46">
        <v>0</v>
      </c>
      <c r="G46">
        <v>0</v>
      </c>
      <c r="K46" s="14" t="s">
        <v>9</v>
      </c>
      <c r="L46" s="14" t="s">
        <v>81</v>
      </c>
      <c r="AD46" t="s">
        <v>297</v>
      </c>
      <c r="AE46" t="s">
        <v>292</v>
      </c>
      <c r="AG46" s="14" t="s">
        <v>434</v>
      </c>
      <c r="AH46" s="14" t="s">
        <v>343</v>
      </c>
    </row>
    <row r="47" spans="2:34" x14ac:dyDescent="0.3">
      <c r="B47" t="s">
        <v>9</v>
      </c>
      <c r="C47" t="s">
        <v>53</v>
      </c>
      <c r="D47">
        <v>200</v>
      </c>
      <c r="E47">
        <v>4</v>
      </c>
      <c r="F47">
        <v>1</v>
      </c>
      <c r="G47">
        <v>0</v>
      </c>
      <c r="K47" s="14" t="s">
        <v>9</v>
      </c>
      <c r="L47" s="14" t="s">
        <v>78</v>
      </c>
      <c r="AD47" t="s">
        <v>298</v>
      </c>
      <c r="AE47" t="s">
        <v>292</v>
      </c>
      <c r="AG47" s="14" t="s">
        <v>477</v>
      </c>
      <c r="AH47" s="14" t="s">
        <v>343</v>
      </c>
    </row>
    <row r="48" spans="2:34" x14ac:dyDescent="0.3">
      <c r="B48" t="s">
        <v>9</v>
      </c>
      <c r="C48" t="s">
        <v>54</v>
      </c>
      <c r="D48">
        <v>200</v>
      </c>
      <c r="E48">
        <v>4</v>
      </c>
      <c r="F48">
        <v>1</v>
      </c>
      <c r="G48">
        <v>0</v>
      </c>
      <c r="K48" s="14" t="s">
        <v>9</v>
      </c>
      <c r="L48" s="14" t="s">
        <v>79</v>
      </c>
      <c r="AD48" t="s">
        <v>299</v>
      </c>
      <c r="AE48" t="s">
        <v>292</v>
      </c>
      <c r="AG48" s="14" t="s">
        <v>616</v>
      </c>
      <c r="AH48" s="14" t="s">
        <v>343</v>
      </c>
    </row>
    <row r="49" spans="2:34" x14ac:dyDescent="0.3">
      <c r="B49" t="s">
        <v>9</v>
      </c>
      <c r="C49" t="s">
        <v>55</v>
      </c>
      <c r="D49">
        <v>200</v>
      </c>
      <c r="E49">
        <v>4</v>
      </c>
      <c r="F49">
        <v>1</v>
      </c>
      <c r="G49">
        <v>0</v>
      </c>
      <c r="K49" s="14" t="s">
        <v>9</v>
      </c>
      <c r="L49" s="14" t="s">
        <v>82</v>
      </c>
      <c r="AD49" t="s">
        <v>300</v>
      </c>
      <c r="AE49" t="s">
        <v>301</v>
      </c>
      <c r="AG49" s="14" t="s">
        <v>843</v>
      </c>
      <c r="AH49" s="14" t="s">
        <v>343</v>
      </c>
    </row>
    <row r="50" spans="2:34" x14ac:dyDescent="0.3">
      <c r="B50" t="s">
        <v>9</v>
      </c>
      <c r="C50" t="s">
        <v>56</v>
      </c>
      <c r="D50">
        <v>200</v>
      </c>
      <c r="E50">
        <v>4</v>
      </c>
      <c r="F50">
        <v>0</v>
      </c>
      <c r="G50">
        <v>0</v>
      </c>
      <c r="K50" s="14" t="s">
        <v>9</v>
      </c>
      <c r="L50" s="14" t="s">
        <v>85</v>
      </c>
      <c r="AD50" t="s">
        <v>302</v>
      </c>
      <c r="AE50" t="s">
        <v>303</v>
      </c>
      <c r="AG50" s="14" t="s">
        <v>833</v>
      </c>
      <c r="AH50" s="14" t="s">
        <v>343</v>
      </c>
    </row>
    <row r="51" spans="2:34" x14ac:dyDescent="0.3">
      <c r="B51" t="s">
        <v>9</v>
      </c>
      <c r="C51" t="s">
        <v>57</v>
      </c>
      <c r="D51">
        <v>200</v>
      </c>
      <c r="E51">
        <v>4</v>
      </c>
      <c r="F51">
        <v>0</v>
      </c>
      <c r="G51">
        <v>0</v>
      </c>
      <c r="K51" s="14" t="s">
        <v>9</v>
      </c>
      <c r="L51" s="14" t="s">
        <v>86</v>
      </c>
      <c r="AD51" t="s">
        <v>304</v>
      </c>
      <c r="AE51" t="s">
        <v>305</v>
      </c>
      <c r="AG51" s="14" t="s">
        <v>390</v>
      </c>
      <c r="AH51" s="14" t="s">
        <v>343</v>
      </c>
    </row>
    <row r="52" spans="2:34" x14ac:dyDescent="0.3">
      <c r="B52" t="s">
        <v>9</v>
      </c>
      <c r="C52" t="s">
        <v>58</v>
      </c>
      <c r="D52">
        <v>200</v>
      </c>
      <c r="E52">
        <v>4</v>
      </c>
      <c r="F52">
        <v>1</v>
      </c>
      <c r="G52">
        <v>0</v>
      </c>
      <c r="K52" s="14" t="s">
        <v>9</v>
      </c>
      <c r="L52" s="14" t="s">
        <v>83</v>
      </c>
      <c r="AD52" t="s">
        <v>306</v>
      </c>
      <c r="AE52" t="s">
        <v>258</v>
      </c>
      <c r="AG52" s="14" t="s">
        <v>395</v>
      </c>
      <c r="AH52" s="14" t="s">
        <v>343</v>
      </c>
    </row>
    <row r="53" spans="2:34" x14ac:dyDescent="0.3">
      <c r="B53" t="s">
        <v>9</v>
      </c>
      <c r="C53" t="s">
        <v>59</v>
      </c>
      <c r="D53">
        <v>200</v>
      </c>
      <c r="E53">
        <v>4</v>
      </c>
      <c r="F53">
        <v>0</v>
      </c>
      <c r="G53">
        <v>0</v>
      </c>
      <c r="K53" s="14" t="s">
        <v>9</v>
      </c>
      <c r="L53" s="14" t="s">
        <v>84</v>
      </c>
      <c r="AD53" t="s">
        <v>307</v>
      </c>
      <c r="AE53" t="s">
        <v>243</v>
      </c>
      <c r="AG53" s="14" t="s">
        <v>1015</v>
      </c>
      <c r="AH53" s="14" t="s">
        <v>343</v>
      </c>
    </row>
    <row r="54" spans="2:34" x14ac:dyDescent="0.3">
      <c r="B54" t="s">
        <v>9</v>
      </c>
      <c r="C54" t="s">
        <v>60</v>
      </c>
      <c r="D54">
        <v>200</v>
      </c>
      <c r="E54">
        <v>4</v>
      </c>
      <c r="F54">
        <v>1</v>
      </c>
      <c r="G54">
        <v>0</v>
      </c>
      <c r="K54" s="14" t="s">
        <v>9</v>
      </c>
      <c r="L54" s="14" t="s">
        <v>107</v>
      </c>
      <c r="AD54" t="s">
        <v>308</v>
      </c>
      <c r="AE54" t="s">
        <v>309</v>
      </c>
      <c r="AG54" s="14" t="s">
        <v>775</v>
      </c>
      <c r="AH54" s="14" t="s">
        <v>343</v>
      </c>
    </row>
    <row r="55" spans="2:34" x14ac:dyDescent="0.3">
      <c r="B55" t="s">
        <v>9</v>
      </c>
      <c r="C55" t="s">
        <v>61</v>
      </c>
      <c r="D55">
        <v>199.5</v>
      </c>
      <c r="E55">
        <v>4</v>
      </c>
      <c r="F55">
        <v>1</v>
      </c>
      <c r="G55">
        <v>0</v>
      </c>
      <c r="K55" s="14" t="s">
        <v>9</v>
      </c>
      <c r="L55" s="14" t="s">
        <v>108</v>
      </c>
      <c r="AD55" t="s">
        <v>310</v>
      </c>
      <c r="AE55" t="s">
        <v>258</v>
      </c>
      <c r="AG55" s="14" t="s">
        <v>428</v>
      </c>
      <c r="AH55" s="14" t="s">
        <v>343</v>
      </c>
    </row>
    <row r="56" spans="2:34" x14ac:dyDescent="0.3">
      <c r="B56" t="s">
        <v>9</v>
      </c>
      <c r="C56" t="s">
        <v>62</v>
      </c>
      <c r="D56">
        <v>199.5</v>
      </c>
      <c r="E56">
        <v>4</v>
      </c>
      <c r="F56">
        <v>1</v>
      </c>
      <c r="G56">
        <v>0</v>
      </c>
      <c r="K56" s="14" t="s">
        <v>9</v>
      </c>
      <c r="L56" s="14" t="s">
        <v>105</v>
      </c>
      <c r="AD56" t="s">
        <v>311</v>
      </c>
      <c r="AE56" t="s">
        <v>312</v>
      </c>
      <c r="AG56" s="14" t="s">
        <v>858</v>
      </c>
      <c r="AH56" s="14" t="s">
        <v>343</v>
      </c>
    </row>
    <row r="57" spans="2:34" x14ac:dyDescent="0.3">
      <c r="B57" t="s">
        <v>9</v>
      </c>
      <c r="C57" t="s">
        <v>63</v>
      </c>
      <c r="D57">
        <v>150</v>
      </c>
      <c r="E57">
        <v>3</v>
      </c>
      <c r="F57">
        <v>0</v>
      </c>
      <c r="G57">
        <v>0</v>
      </c>
      <c r="K57" s="14" t="s">
        <v>9</v>
      </c>
      <c r="L57" s="14" t="s">
        <v>106</v>
      </c>
      <c r="AD57" t="s">
        <v>313</v>
      </c>
      <c r="AE57" t="s">
        <v>312</v>
      </c>
      <c r="AG57" s="14" t="s">
        <v>391</v>
      </c>
      <c r="AH57" s="14" t="s">
        <v>343</v>
      </c>
    </row>
    <row r="58" spans="2:34" x14ac:dyDescent="0.3">
      <c r="B58" t="s">
        <v>9</v>
      </c>
      <c r="C58" t="s">
        <v>64</v>
      </c>
      <c r="D58">
        <v>150</v>
      </c>
      <c r="E58">
        <v>3</v>
      </c>
      <c r="F58">
        <v>0</v>
      </c>
      <c r="G58">
        <v>0</v>
      </c>
      <c r="K58" s="14" t="s">
        <v>9</v>
      </c>
      <c r="L58" s="14" t="s">
        <v>109</v>
      </c>
      <c r="AD58" t="s">
        <v>314</v>
      </c>
      <c r="AE58" t="s">
        <v>243</v>
      </c>
      <c r="AG58" s="14" t="s">
        <v>506</v>
      </c>
      <c r="AH58" s="14" t="s">
        <v>343</v>
      </c>
    </row>
    <row r="59" spans="2:34" x14ac:dyDescent="0.3">
      <c r="B59" t="s">
        <v>9</v>
      </c>
      <c r="C59" t="s">
        <v>65</v>
      </c>
      <c r="D59">
        <v>150</v>
      </c>
      <c r="E59">
        <v>3</v>
      </c>
      <c r="F59">
        <v>1</v>
      </c>
      <c r="G59">
        <v>0</v>
      </c>
      <c r="K59" s="14" t="s">
        <v>9</v>
      </c>
      <c r="L59" s="14" t="s">
        <v>112</v>
      </c>
      <c r="AD59" t="s">
        <v>315</v>
      </c>
      <c r="AE59" t="s">
        <v>278</v>
      </c>
      <c r="AG59" s="14" t="s">
        <v>781</v>
      </c>
      <c r="AH59" s="14" t="s">
        <v>343</v>
      </c>
    </row>
    <row r="60" spans="2:34" x14ac:dyDescent="0.3">
      <c r="B60" t="s">
        <v>9</v>
      </c>
      <c r="C60" t="s">
        <v>66</v>
      </c>
      <c r="D60">
        <v>150</v>
      </c>
      <c r="E60">
        <v>3</v>
      </c>
      <c r="F60">
        <v>1</v>
      </c>
      <c r="G60">
        <v>0</v>
      </c>
      <c r="K60" s="14" t="s">
        <v>9</v>
      </c>
      <c r="L60" s="14" t="s">
        <v>10</v>
      </c>
      <c r="AD60" t="s">
        <v>316</v>
      </c>
      <c r="AE60" t="s">
        <v>284</v>
      </c>
      <c r="AG60" s="14" t="s">
        <v>985</v>
      </c>
      <c r="AH60" s="14" t="s">
        <v>343</v>
      </c>
    </row>
    <row r="61" spans="2:34" x14ac:dyDescent="0.3">
      <c r="B61" t="s">
        <v>9</v>
      </c>
      <c r="C61" t="s">
        <v>67</v>
      </c>
      <c r="D61">
        <v>150</v>
      </c>
      <c r="E61">
        <v>3</v>
      </c>
      <c r="F61">
        <v>1</v>
      </c>
      <c r="G61">
        <v>0</v>
      </c>
      <c r="K61" s="14" t="s">
        <v>9</v>
      </c>
      <c r="L61" s="14" t="s">
        <v>110</v>
      </c>
      <c r="AD61" t="s">
        <v>317</v>
      </c>
      <c r="AE61" t="s">
        <v>312</v>
      </c>
      <c r="AG61" s="14" t="s">
        <v>913</v>
      </c>
      <c r="AH61" s="14" t="s">
        <v>343</v>
      </c>
    </row>
    <row r="62" spans="2:34" x14ac:dyDescent="0.3">
      <c r="B62" t="s">
        <v>9</v>
      </c>
      <c r="C62" t="s">
        <v>68</v>
      </c>
      <c r="D62">
        <v>149.5</v>
      </c>
      <c r="E62">
        <v>3</v>
      </c>
      <c r="F62">
        <v>1</v>
      </c>
      <c r="G62">
        <v>0</v>
      </c>
      <c r="K62" s="14" t="s">
        <v>9</v>
      </c>
      <c r="L62" s="14" t="s">
        <v>111</v>
      </c>
      <c r="AD62" t="s">
        <v>318</v>
      </c>
      <c r="AE62" t="s">
        <v>258</v>
      </c>
      <c r="AG62" s="14" t="s">
        <v>545</v>
      </c>
      <c r="AH62" s="14" t="s">
        <v>343</v>
      </c>
    </row>
    <row r="63" spans="2:34" x14ac:dyDescent="0.3">
      <c r="B63" t="s">
        <v>9</v>
      </c>
      <c r="C63" t="s">
        <v>69</v>
      </c>
      <c r="D63">
        <v>150</v>
      </c>
      <c r="E63">
        <v>3</v>
      </c>
      <c r="F63">
        <v>1</v>
      </c>
      <c r="G63">
        <v>0</v>
      </c>
      <c r="K63" s="14" t="s">
        <v>9</v>
      </c>
      <c r="L63" s="14" t="s">
        <v>98</v>
      </c>
      <c r="AD63" t="s">
        <v>319</v>
      </c>
      <c r="AE63" t="s">
        <v>263</v>
      </c>
      <c r="AG63" s="14" t="s">
        <v>368</v>
      </c>
      <c r="AH63" s="14" t="s">
        <v>343</v>
      </c>
    </row>
    <row r="64" spans="2:34" x14ac:dyDescent="0.3">
      <c r="B64" t="s">
        <v>9</v>
      </c>
      <c r="C64" t="s">
        <v>70</v>
      </c>
      <c r="D64">
        <v>150</v>
      </c>
      <c r="E64">
        <v>3</v>
      </c>
      <c r="F64">
        <v>1</v>
      </c>
      <c r="G64">
        <v>0</v>
      </c>
      <c r="K64" s="14" t="s">
        <v>9</v>
      </c>
      <c r="L64" s="14" t="s">
        <v>99</v>
      </c>
      <c r="AD64" t="s">
        <v>320</v>
      </c>
      <c r="AE64" t="s">
        <v>321</v>
      </c>
      <c r="AG64" s="14" t="s">
        <v>674</v>
      </c>
      <c r="AH64" s="14" t="s">
        <v>343</v>
      </c>
    </row>
    <row r="65" spans="2:34" x14ac:dyDescent="0.3">
      <c r="B65" t="s">
        <v>9</v>
      </c>
      <c r="C65" t="s">
        <v>71</v>
      </c>
      <c r="D65">
        <v>150</v>
      </c>
      <c r="E65">
        <v>3</v>
      </c>
      <c r="F65">
        <v>1</v>
      </c>
      <c r="G65">
        <v>0</v>
      </c>
      <c r="K65" s="14" t="s">
        <v>9</v>
      </c>
      <c r="L65" s="14" t="s">
        <v>96</v>
      </c>
      <c r="AD65" t="s">
        <v>322</v>
      </c>
      <c r="AE65" t="s">
        <v>284</v>
      </c>
      <c r="AG65" s="14" t="s">
        <v>525</v>
      </c>
      <c r="AH65" s="14" t="s">
        <v>343</v>
      </c>
    </row>
    <row r="66" spans="2:34" x14ac:dyDescent="0.3">
      <c r="B66" t="s">
        <v>9</v>
      </c>
      <c r="C66" t="s">
        <v>72</v>
      </c>
      <c r="D66">
        <v>125</v>
      </c>
      <c r="E66">
        <v>3</v>
      </c>
      <c r="F66">
        <v>1</v>
      </c>
      <c r="G66">
        <v>0</v>
      </c>
      <c r="K66" s="14" t="s">
        <v>9</v>
      </c>
      <c r="L66" s="14" t="s">
        <v>97</v>
      </c>
      <c r="AD66" t="s">
        <v>323</v>
      </c>
      <c r="AE66" t="s">
        <v>284</v>
      </c>
      <c r="AG66" s="14" t="s">
        <v>840</v>
      </c>
      <c r="AH66" s="14" t="s">
        <v>343</v>
      </c>
    </row>
    <row r="67" spans="2:34" x14ac:dyDescent="0.3">
      <c r="B67" t="s">
        <v>9</v>
      </c>
      <c r="C67" t="s">
        <v>73</v>
      </c>
      <c r="D67">
        <v>125</v>
      </c>
      <c r="E67">
        <v>3</v>
      </c>
      <c r="F67">
        <v>1</v>
      </c>
      <c r="G67">
        <v>0</v>
      </c>
      <c r="K67" s="14" t="s">
        <v>9</v>
      </c>
      <c r="L67" s="14" t="s">
        <v>100</v>
      </c>
      <c r="AD67" t="s">
        <v>324</v>
      </c>
      <c r="AE67" t="s">
        <v>284</v>
      </c>
      <c r="AG67" s="14" t="s">
        <v>642</v>
      </c>
      <c r="AH67" s="14" t="s">
        <v>343</v>
      </c>
    </row>
    <row r="68" spans="2:34" x14ac:dyDescent="0.3">
      <c r="B68" t="s">
        <v>9</v>
      </c>
      <c r="C68" t="s">
        <v>74</v>
      </c>
      <c r="D68">
        <v>125</v>
      </c>
      <c r="E68">
        <v>3</v>
      </c>
      <c r="F68">
        <v>1</v>
      </c>
      <c r="G68">
        <v>0</v>
      </c>
      <c r="K68" s="14" t="s">
        <v>9</v>
      </c>
      <c r="L68" s="14" t="s">
        <v>103</v>
      </c>
      <c r="AD68" t="s">
        <v>325</v>
      </c>
      <c r="AE68" t="s">
        <v>326</v>
      </c>
      <c r="AG68" s="14" t="s">
        <v>959</v>
      </c>
      <c r="AH68" s="14" t="s">
        <v>343</v>
      </c>
    </row>
    <row r="69" spans="2:34" x14ac:dyDescent="0.3">
      <c r="B69" t="s">
        <v>9</v>
      </c>
      <c r="C69" t="s">
        <v>75</v>
      </c>
      <c r="D69">
        <v>125</v>
      </c>
      <c r="E69">
        <v>3</v>
      </c>
      <c r="F69">
        <v>1</v>
      </c>
      <c r="G69">
        <v>0</v>
      </c>
      <c r="K69" s="14" t="s">
        <v>9</v>
      </c>
      <c r="L69" s="14" t="s">
        <v>104</v>
      </c>
      <c r="AD69" t="s">
        <v>327</v>
      </c>
      <c r="AE69" t="s">
        <v>268</v>
      </c>
      <c r="AG69" s="14" t="s">
        <v>724</v>
      </c>
      <c r="AH69" s="14" t="s">
        <v>343</v>
      </c>
    </row>
    <row r="70" spans="2:34" x14ac:dyDescent="0.3">
      <c r="B70" t="s">
        <v>9</v>
      </c>
      <c r="C70" t="s">
        <v>76</v>
      </c>
      <c r="D70">
        <v>125</v>
      </c>
      <c r="E70">
        <v>3</v>
      </c>
      <c r="F70">
        <v>1</v>
      </c>
      <c r="G70">
        <v>0</v>
      </c>
      <c r="K70" s="14" t="s">
        <v>9</v>
      </c>
      <c r="L70" s="14" t="s">
        <v>101</v>
      </c>
      <c r="AD70" t="s">
        <v>328</v>
      </c>
      <c r="AE70" t="s">
        <v>258</v>
      </c>
      <c r="AG70" s="14" t="s">
        <v>581</v>
      </c>
      <c r="AH70" s="14" t="s">
        <v>343</v>
      </c>
    </row>
    <row r="71" spans="2:34" x14ac:dyDescent="0.3">
      <c r="B71" t="s">
        <v>9</v>
      </c>
      <c r="C71" t="s">
        <v>77</v>
      </c>
      <c r="D71">
        <v>125</v>
      </c>
      <c r="E71">
        <v>3</v>
      </c>
      <c r="F71">
        <v>1</v>
      </c>
      <c r="G71">
        <v>0</v>
      </c>
      <c r="K71" s="14" t="s">
        <v>9</v>
      </c>
      <c r="L71" s="14" t="s">
        <v>102</v>
      </c>
      <c r="AD71" t="s">
        <v>329</v>
      </c>
      <c r="AE71" t="s">
        <v>330</v>
      </c>
      <c r="AG71" s="14" t="s">
        <v>373</v>
      </c>
      <c r="AH71" s="14" t="s">
        <v>343</v>
      </c>
    </row>
    <row r="72" spans="2:34" x14ac:dyDescent="0.3">
      <c r="B72" t="s">
        <v>9</v>
      </c>
      <c r="C72" t="s">
        <v>78</v>
      </c>
      <c r="D72">
        <v>100</v>
      </c>
      <c r="E72">
        <v>2</v>
      </c>
      <c r="F72">
        <v>1</v>
      </c>
      <c r="G72">
        <v>0</v>
      </c>
      <c r="K72" s="14" t="s">
        <v>9</v>
      </c>
      <c r="L72" s="14" t="s">
        <v>34</v>
      </c>
      <c r="AD72" t="s">
        <v>331</v>
      </c>
      <c r="AE72" t="s">
        <v>332</v>
      </c>
      <c r="AG72" s="14" t="s">
        <v>382</v>
      </c>
      <c r="AH72" s="14" t="s">
        <v>343</v>
      </c>
    </row>
    <row r="73" spans="2:34" x14ac:dyDescent="0.3">
      <c r="B73" t="s">
        <v>9</v>
      </c>
      <c r="C73" t="s">
        <v>79</v>
      </c>
      <c r="D73">
        <v>99</v>
      </c>
      <c r="E73">
        <v>2</v>
      </c>
      <c r="F73">
        <v>1</v>
      </c>
      <c r="G73">
        <v>0</v>
      </c>
      <c r="K73" s="14" t="s">
        <v>9</v>
      </c>
      <c r="L73" s="14" t="s">
        <v>33</v>
      </c>
      <c r="AD73" t="s">
        <v>333</v>
      </c>
      <c r="AE73" t="s">
        <v>258</v>
      </c>
      <c r="AG73" s="14" t="s">
        <v>422</v>
      </c>
      <c r="AH73" s="14" t="s">
        <v>343</v>
      </c>
    </row>
    <row r="74" spans="2:34" x14ac:dyDescent="0.3">
      <c r="B74" t="s">
        <v>9</v>
      </c>
      <c r="C74" t="s">
        <v>80</v>
      </c>
      <c r="D74">
        <v>100</v>
      </c>
      <c r="E74">
        <v>2</v>
      </c>
      <c r="F74">
        <v>1</v>
      </c>
      <c r="G74">
        <v>0</v>
      </c>
      <c r="K74" s="14" t="s">
        <v>9</v>
      </c>
      <c r="L74" s="14" t="s">
        <v>36</v>
      </c>
      <c r="AD74" t="s">
        <v>334</v>
      </c>
      <c r="AE74" t="s">
        <v>332</v>
      </c>
      <c r="AG74" s="14" t="s">
        <v>1014</v>
      </c>
      <c r="AH74" s="14" t="s">
        <v>343</v>
      </c>
    </row>
    <row r="75" spans="2:34" x14ac:dyDescent="0.3">
      <c r="B75" t="s">
        <v>9</v>
      </c>
      <c r="C75" t="s">
        <v>81</v>
      </c>
      <c r="D75">
        <v>100</v>
      </c>
      <c r="E75">
        <v>2</v>
      </c>
      <c r="F75">
        <v>1</v>
      </c>
      <c r="G75">
        <v>0</v>
      </c>
      <c r="K75" s="14" t="s">
        <v>9</v>
      </c>
      <c r="L75" s="14" t="s">
        <v>35</v>
      </c>
      <c r="AD75" t="s">
        <v>335</v>
      </c>
      <c r="AE75" t="s">
        <v>284</v>
      </c>
      <c r="AG75" s="14" t="s">
        <v>912</v>
      </c>
      <c r="AH75" s="14" t="s">
        <v>343</v>
      </c>
    </row>
    <row r="76" spans="2:34" x14ac:dyDescent="0.3">
      <c r="B76" t="s">
        <v>9</v>
      </c>
      <c r="C76" t="s">
        <v>82</v>
      </c>
      <c r="D76">
        <v>100</v>
      </c>
      <c r="E76">
        <v>2</v>
      </c>
      <c r="F76">
        <v>0</v>
      </c>
      <c r="G76">
        <v>0</v>
      </c>
      <c r="K76" s="14" t="s">
        <v>9</v>
      </c>
      <c r="L76" s="14" t="s">
        <v>30</v>
      </c>
      <c r="AD76" t="s">
        <v>336</v>
      </c>
      <c r="AE76" t="s">
        <v>258</v>
      </c>
      <c r="AG76" s="14" t="s">
        <v>459</v>
      </c>
      <c r="AH76" s="14" t="s">
        <v>343</v>
      </c>
    </row>
    <row r="77" spans="2:34" x14ac:dyDescent="0.3">
      <c r="B77" t="s">
        <v>9</v>
      </c>
      <c r="C77" t="s">
        <v>83</v>
      </c>
      <c r="D77">
        <v>250</v>
      </c>
      <c r="E77">
        <v>5</v>
      </c>
      <c r="F77">
        <v>1</v>
      </c>
      <c r="G77">
        <v>0</v>
      </c>
      <c r="K77" s="14" t="s">
        <v>9</v>
      </c>
      <c r="L77" s="14" t="s">
        <v>29</v>
      </c>
      <c r="AD77" t="s">
        <v>337</v>
      </c>
      <c r="AE77" t="s">
        <v>284</v>
      </c>
      <c r="AG77" s="14" t="s">
        <v>387</v>
      </c>
      <c r="AH77" s="14" t="s">
        <v>343</v>
      </c>
    </row>
    <row r="78" spans="2:34" x14ac:dyDescent="0.3">
      <c r="B78" t="s">
        <v>9</v>
      </c>
      <c r="C78" t="s">
        <v>84</v>
      </c>
      <c r="D78">
        <v>200</v>
      </c>
      <c r="E78">
        <v>4</v>
      </c>
      <c r="F78">
        <v>1</v>
      </c>
      <c r="G78">
        <v>0</v>
      </c>
      <c r="K78" s="14" t="s">
        <v>9</v>
      </c>
      <c r="L78" s="14" t="s">
        <v>32</v>
      </c>
      <c r="AD78" t="s">
        <v>338</v>
      </c>
      <c r="AE78" t="s">
        <v>284</v>
      </c>
      <c r="AG78" s="14" t="s">
        <v>350</v>
      </c>
      <c r="AH78" s="14" t="s">
        <v>343</v>
      </c>
    </row>
    <row r="79" spans="2:34" x14ac:dyDescent="0.3">
      <c r="B79" t="s">
        <v>9</v>
      </c>
      <c r="C79" t="s">
        <v>85</v>
      </c>
      <c r="D79">
        <v>50</v>
      </c>
      <c r="E79">
        <v>1</v>
      </c>
      <c r="F79">
        <v>0</v>
      </c>
      <c r="G79">
        <v>0</v>
      </c>
      <c r="K79" s="14" t="s">
        <v>9</v>
      </c>
      <c r="L79" s="14" t="s">
        <v>31</v>
      </c>
      <c r="AD79" t="s">
        <v>339</v>
      </c>
      <c r="AE79" t="s">
        <v>284</v>
      </c>
      <c r="AG79" s="14" t="s">
        <v>963</v>
      </c>
      <c r="AH79" s="14" t="s">
        <v>343</v>
      </c>
    </row>
    <row r="80" spans="2:34" x14ac:dyDescent="0.3">
      <c r="B80" t="s">
        <v>9</v>
      </c>
      <c r="C80" t="s">
        <v>86</v>
      </c>
      <c r="D80">
        <v>42</v>
      </c>
      <c r="E80">
        <v>1</v>
      </c>
      <c r="F80">
        <v>0</v>
      </c>
      <c r="G80">
        <v>0</v>
      </c>
      <c r="K80" s="14" t="s">
        <v>9</v>
      </c>
      <c r="L80" s="14" t="s">
        <v>42</v>
      </c>
      <c r="AD80" t="s">
        <v>340</v>
      </c>
      <c r="AE80" t="s">
        <v>243</v>
      </c>
      <c r="AG80" s="14" t="s">
        <v>369</v>
      </c>
      <c r="AH80" s="14" t="s">
        <v>343</v>
      </c>
    </row>
    <row r="81" spans="2:34" x14ac:dyDescent="0.3">
      <c r="B81" t="s">
        <v>9</v>
      </c>
      <c r="C81" t="s">
        <v>87</v>
      </c>
      <c r="D81">
        <v>300</v>
      </c>
      <c r="E81">
        <v>6</v>
      </c>
      <c r="F81">
        <v>1</v>
      </c>
      <c r="G81">
        <v>0</v>
      </c>
      <c r="K81" s="14" t="s">
        <v>9</v>
      </c>
      <c r="L81" s="14" t="s">
        <v>41</v>
      </c>
      <c r="AD81" t="s">
        <v>341</v>
      </c>
      <c r="AE81" t="s">
        <v>243</v>
      </c>
      <c r="AG81" s="14" t="s">
        <v>941</v>
      </c>
      <c r="AH81" s="14" t="s">
        <v>343</v>
      </c>
    </row>
    <row r="82" spans="2:34" x14ac:dyDescent="0.3">
      <c r="B82" t="s">
        <v>9</v>
      </c>
      <c r="C82" t="s">
        <v>88</v>
      </c>
      <c r="D82">
        <v>300</v>
      </c>
      <c r="E82">
        <v>6</v>
      </c>
      <c r="F82">
        <v>1</v>
      </c>
      <c r="G82">
        <v>0</v>
      </c>
      <c r="K82" s="14" t="s">
        <v>9</v>
      </c>
      <c r="L82" s="14" t="s">
        <v>44</v>
      </c>
      <c r="AD82" t="s">
        <v>342</v>
      </c>
      <c r="AE82" t="s">
        <v>343</v>
      </c>
      <c r="AG82" s="14" t="s">
        <v>456</v>
      </c>
      <c r="AH82" s="14" t="s">
        <v>343</v>
      </c>
    </row>
    <row r="83" spans="2:34" x14ac:dyDescent="0.3">
      <c r="B83" t="s">
        <v>9</v>
      </c>
      <c r="C83" t="s">
        <v>89</v>
      </c>
      <c r="D83">
        <v>250</v>
      </c>
      <c r="E83">
        <v>5</v>
      </c>
      <c r="F83">
        <v>1</v>
      </c>
      <c r="G83">
        <v>0</v>
      </c>
      <c r="K83" s="14" t="s">
        <v>9</v>
      </c>
      <c r="L83" s="14" t="s">
        <v>43</v>
      </c>
      <c r="AD83" t="s">
        <v>344</v>
      </c>
      <c r="AE83" t="s">
        <v>345</v>
      </c>
      <c r="AG83" s="14" t="s">
        <v>356</v>
      </c>
      <c r="AH83" s="14" t="s">
        <v>343</v>
      </c>
    </row>
    <row r="84" spans="2:34" x14ac:dyDescent="0.3">
      <c r="B84" t="s">
        <v>9</v>
      </c>
      <c r="C84" t="s">
        <v>90</v>
      </c>
      <c r="D84">
        <v>250</v>
      </c>
      <c r="E84">
        <v>5</v>
      </c>
      <c r="F84">
        <v>1</v>
      </c>
      <c r="G84">
        <v>0</v>
      </c>
      <c r="K84" s="14" t="s">
        <v>9</v>
      </c>
      <c r="L84" s="14" t="s">
        <v>38</v>
      </c>
      <c r="AD84" t="s">
        <v>346</v>
      </c>
      <c r="AE84" t="s">
        <v>243</v>
      </c>
      <c r="AG84" s="14" t="s">
        <v>751</v>
      </c>
      <c r="AH84" s="14" t="s">
        <v>343</v>
      </c>
    </row>
    <row r="85" spans="2:34" x14ac:dyDescent="0.3">
      <c r="B85" t="s">
        <v>9</v>
      </c>
      <c r="C85" t="s">
        <v>91</v>
      </c>
      <c r="D85">
        <v>200</v>
      </c>
      <c r="E85">
        <v>4</v>
      </c>
      <c r="F85">
        <v>1</v>
      </c>
      <c r="G85">
        <v>0</v>
      </c>
      <c r="K85" s="14" t="s">
        <v>9</v>
      </c>
      <c r="L85" s="14" t="s">
        <v>37</v>
      </c>
      <c r="AD85" t="s">
        <v>347</v>
      </c>
      <c r="AE85" t="s">
        <v>243</v>
      </c>
      <c r="AG85" s="14" t="s">
        <v>645</v>
      </c>
      <c r="AH85" s="14" t="s">
        <v>343</v>
      </c>
    </row>
    <row r="86" spans="2:34" x14ac:dyDescent="0.3">
      <c r="B86" t="s">
        <v>9</v>
      </c>
      <c r="C86" t="s">
        <v>92</v>
      </c>
      <c r="D86">
        <v>200</v>
      </c>
      <c r="E86">
        <v>4</v>
      </c>
      <c r="F86">
        <v>1</v>
      </c>
      <c r="G86">
        <v>0</v>
      </c>
      <c r="K86" s="14" t="s">
        <v>9</v>
      </c>
      <c r="L86" s="14" t="s">
        <v>40</v>
      </c>
      <c r="AD86" t="s">
        <v>348</v>
      </c>
      <c r="AE86" t="s">
        <v>349</v>
      </c>
      <c r="AG86" s="14" t="s">
        <v>621</v>
      </c>
      <c r="AH86" s="14" t="s">
        <v>343</v>
      </c>
    </row>
    <row r="87" spans="2:34" x14ac:dyDescent="0.3">
      <c r="B87" t="s">
        <v>9</v>
      </c>
      <c r="C87" t="s">
        <v>93</v>
      </c>
      <c r="D87">
        <v>300</v>
      </c>
      <c r="E87">
        <v>6</v>
      </c>
      <c r="F87">
        <v>1</v>
      </c>
      <c r="G87">
        <v>0</v>
      </c>
      <c r="K87" s="14" t="s">
        <v>9</v>
      </c>
      <c r="L87" s="14" t="s">
        <v>39</v>
      </c>
      <c r="AD87" t="s">
        <v>350</v>
      </c>
      <c r="AE87" t="s">
        <v>343</v>
      </c>
      <c r="AG87" s="14" t="s">
        <v>625</v>
      </c>
      <c r="AH87" s="14" t="s">
        <v>343</v>
      </c>
    </row>
    <row r="88" spans="2:34" x14ac:dyDescent="0.3">
      <c r="B88" t="s">
        <v>9</v>
      </c>
      <c r="C88" t="s">
        <v>94</v>
      </c>
      <c r="D88">
        <v>300</v>
      </c>
      <c r="E88">
        <v>6</v>
      </c>
      <c r="F88">
        <v>1</v>
      </c>
      <c r="G88">
        <v>0</v>
      </c>
      <c r="K88" s="14" t="s">
        <v>9</v>
      </c>
      <c r="L88" s="14" t="s">
        <v>17</v>
      </c>
      <c r="AD88" t="s">
        <v>351</v>
      </c>
      <c r="AE88" t="s">
        <v>352</v>
      </c>
      <c r="AG88" s="14" t="s">
        <v>646</v>
      </c>
      <c r="AH88" s="14" t="s">
        <v>343</v>
      </c>
    </row>
    <row r="89" spans="2:34" x14ac:dyDescent="0.3">
      <c r="B89" t="s">
        <v>9</v>
      </c>
      <c r="C89" t="s">
        <v>95</v>
      </c>
      <c r="D89">
        <v>300</v>
      </c>
      <c r="E89">
        <v>6</v>
      </c>
      <c r="F89">
        <v>1</v>
      </c>
      <c r="G89">
        <v>0</v>
      </c>
      <c r="K89" s="14" t="s">
        <v>9</v>
      </c>
      <c r="L89" s="14" t="s">
        <v>16</v>
      </c>
      <c r="AD89" t="s">
        <v>353</v>
      </c>
      <c r="AE89" t="s">
        <v>352</v>
      </c>
      <c r="AG89" s="14" t="s">
        <v>722</v>
      </c>
      <c r="AH89" s="14" t="s">
        <v>343</v>
      </c>
    </row>
    <row r="90" spans="2:34" x14ac:dyDescent="0.3">
      <c r="B90" t="s">
        <v>9</v>
      </c>
      <c r="C90" t="s">
        <v>96</v>
      </c>
      <c r="D90">
        <v>300</v>
      </c>
      <c r="E90">
        <v>6</v>
      </c>
      <c r="F90">
        <v>1</v>
      </c>
      <c r="G90">
        <v>0</v>
      </c>
      <c r="K90" s="14" t="s">
        <v>9</v>
      </c>
      <c r="L90" s="14" t="s">
        <v>19</v>
      </c>
      <c r="AD90" t="s">
        <v>354</v>
      </c>
      <c r="AE90" t="s">
        <v>243</v>
      </c>
      <c r="AG90" s="14" t="s">
        <v>441</v>
      </c>
      <c r="AH90" s="14" t="s">
        <v>343</v>
      </c>
    </row>
    <row r="91" spans="2:34" x14ac:dyDescent="0.3">
      <c r="B91" t="s">
        <v>9</v>
      </c>
      <c r="C91" t="s">
        <v>97</v>
      </c>
      <c r="D91">
        <v>250</v>
      </c>
      <c r="E91">
        <v>5</v>
      </c>
      <c r="F91">
        <v>1</v>
      </c>
      <c r="G91">
        <v>0</v>
      </c>
      <c r="K91" s="14" t="s">
        <v>9</v>
      </c>
      <c r="L91" s="14" t="s">
        <v>18</v>
      </c>
      <c r="AD91" t="s">
        <v>355</v>
      </c>
      <c r="AE91" t="s">
        <v>258</v>
      </c>
      <c r="AG91" s="14" t="s">
        <v>754</v>
      </c>
      <c r="AH91" s="14" t="s">
        <v>343</v>
      </c>
    </row>
    <row r="92" spans="2:34" x14ac:dyDescent="0.3">
      <c r="B92" t="s">
        <v>9</v>
      </c>
      <c r="C92" t="s">
        <v>98</v>
      </c>
      <c r="D92">
        <v>250</v>
      </c>
      <c r="E92">
        <v>5</v>
      </c>
      <c r="F92">
        <v>1</v>
      </c>
      <c r="G92">
        <v>0</v>
      </c>
      <c r="K92" s="14" t="s">
        <v>9</v>
      </c>
      <c r="L92" s="14" t="s">
        <v>12</v>
      </c>
      <c r="AD92" t="s">
        <v>356</v>
      </c>
      <c r="AE92" t="s">
        <v>343</v>
      </c>
      <c r="AG92" s="14" t="s">
        <v>737</v>
      </c>
      <c r="AH92" s="14" t="s">
        <v>343</v>
      </c>
    </row>
    <row r="93" spans="2:34" x14ac:dyDescent="0.3">
      <c r="B93" t="s">
        <v>9</v>
      </c>
      <c r="C93" t="s">
        <v>99</v>
      </c>
      <c r="D93">
        <v>250</v>
      </c>
      <c r="E93">
        <v>5</v>
      </c>
      <c r="F93">
        <v>1</v>
      </c>
      <c r="G93">
        <v>0</v>
      </c>
      <c r="K93" s="14" t="s">
        <v>9</v>
      </c>
      <c r="L93" s="14" t="s">
        <v>11</v>
      </c>
      <c r="AD93" t="s">
        <v>357</v>
      </c>
      <c r="AE93" t="s">
        <v>330</v>
      </c>
      <c r="AG93" s="14" t="s">
        <v>637</v>
      </c>
      <c r="AH93" s="14" t="s">
        <v>343</v>
      </c>
    </row>
    <row r="94" spans="2:34" x14ac:dyDescent="0.3">
      <c r="B94" t="s">
        <v>9</v>
      </c>
      <c r="C94" t="s">
        <v>100</v>
      </c>
      <c r="D94">
        <v>200</v>
      </c>
      <c r="E94">
        <v>5</v>
      </c>
      <c r="F94">
        <v>1</v>
      </c>
      <c r="G94">
        <v>0</v>
      </c>
      <c r="K94" s="14" t="s">
        <v>9</v>
      </c>
      <c r="L94" s="14" t="s">
        <v>15</v>
      </c>
      <c r="AD94" t="s">
        <v>358</v>
      </c>
      <c r="AE94" t="s">
        <v>243</v>
      </c>
      <c r="AG94" s="14" t="s">
        <v>517</v>
      </c>
      <c r="AH94" s="14" t="s">
        <v>343</v>
      </c>
    </row>
    <row r="95" spans="2:34" x14ac:dyDescent="0.3">
      <c r="B95" t="s">
        <v>9</v>
      </c>
      <c r="C95" t="s">
        <v>101</v>
      </c>
      <c r="D95">
        <v>250</v>
      </c>
      <c r="E95">
        <v>5</v>
      </c>
      <c r="F95">
        <v>1</v>
      </c>
      <c r="G95">
        <v>0</v>
      </c>
      <c r="K95" s="14" t="s">
        <v>9</v>
      </c>
      <c r="L95" s="14" t="s">
        <v>13</v>
      </c>
      <c r="AD95" t="s">
        <v>359</v>
      </c>
      <c r="AE95" t="s">
        <v>243</v>
      </c>
      <c r="AG95" s="14" t="s">
        <v>603</v>
      </c>
      <c r="AH95" s="14" t="s">
        <v>343</v>
      </c>
    </row>
    <row r="96" spans="2:34" x14ac:dyDescent="0.3">
      <c r="B96" t="s">
        <v>9</v>
      </c>
      <c r="C96" t="s">
        <v>102</v>
      </c>
      <c r="D96">
        <v>200</v>
      </c>
      <c r="E96">
        <v>4</v>
      </c>
      <c r="F96">
        <v>1</v>
      </c>
      <c r="G96">
        <v>0</v>
      </c>
      <c r="K96" s="14" t="s">
        <v>9</v>
      </c>
      <c r="L96" s="14" t="s">
        <v>26</v>
      </c>
      <c r="AD96" t="s">
        <v>360</v>
      </c>
      <c r="AE96" t="s">
        <v>258</v>
      </c>
      <c r="AG96" s="14" t="s">
        <v>670</v>
      </c>
      <c r="AH96" s="14" t="s">
        <v>343</v>
      </c>
    </row>
    <row r="97" spans="2:34" x14ac:dyDescent="0.3">
      <c r="B97" t="s">
        <v>9</v>
      </c>
      <c r="C97" t="s">
        <v>103</v>
      </c>
      <c r="D97">
        <v>200</v>
      </c>
      <c r="E97">
        <v>4</v>
      </c>
      <c r="F97">
        <v>1</v>
      </c>
      <c r="G97">
        <v>0</v>
      </c>
      <c r="K97" s="14" t="s">
        <v>9</v>
      </c>
      <c r="L97" s="14" t="s">
        <v>24</v>
      </c>
      <c r="AD97" t="s">
        <v>361</v>
      </c>
      <c r="AE97" t="s">
        <v>258</v>
      </c>
      <c r="AG97" s="14" t="s">
        <v>593</v>
      </c>
      <c r="AH97" s="14" t="s">
        <v>343</v>
      </c>
    </row>
    <row r="98" spans="2:34" x14ac:dyDescent="0.3">
      <c r="B98" t="s">
        <v>9</v>
      </c>
      <c r="C98" t="s">
        <v>104</v>
      </c>
      <c r="D98">
        <v>200</v>
      </c>
      <c r="E98">
        <v>4</v>
      </c>
      <c r="F98">
        <v>1</v>
      </c>
      <c r="G98">
        <v>0</v>
      </c>
      <c r="K98" s="14" t="s">
        <v>9</v>
      </c>
      <c r="L98" s="14" t="s">
        <v>28</v>
      </c>
      <c r="AD98" t="s">
        <v>362</v>
      </c>
      <c r="AE98" t="s">
        <v>363</v>
      </c>
      <c r="AG98" s="14" t="s">
        <v>575</v>
      </c>
      <c r="AH98" s="14" t="s">
        <v>343</v>
      </c>
    </row>
    <row r="99" spans="2:34" x14ac:dyDescent="0.3">
      <c r="B99" t="s">
        <v>9</v>
      </c>
      <c r="C99" t="s">
        <v>105</v>
      </c>
      <c r="D99">
        <v>200</v>
      </c>
      <c r="E99">
        <v>4</v>
      </c>
      <c r="F99">
        <v>1</v>
      </c>
      <c r="G99">
        <v>0</v>
      </c>
      <c r="K99" s="14" t="s">
        <v>9</v>
      </c>
      <c r="L99" s="14" t="s">
        <v>27</v>
      </c>
      <c r="AD99" t="s">
        <v>364</v>
      </c>
      <c r="AE99" t="s">
        <v>365</v>
      </c>
      <c r="AG99" s="14" t="s">
        <v>510</v>
      </c>
      <c r="AH99" s="14" t="s">
        <v>343</v>
      </c>
    </row>
    <row r="100" spans="2:34" x14ac:dyDescent="0.3">
      <c r="B100" t="s">
        <v>9</v>
      </c>
      <c r="C100" t="s">
        <v>106</v>
      </c>
      <c r="D100">
        <v>200</v>
      </c>
      <c r="E100">
        <v>4</v>
      </c>
      <c r="F100">
        <v>1</v>
      </c>
      <c r="G100">
        <v>0</v>
      </c>
      <c r="K100" s="14" t="s">
        <v>9</v>
      </c>
      <c r="L100" s="14" t="s">
        <v>21</v>
      </c>
      <c r="AD100" t="s">
        <v>366</v>
      </c>
      <c r="AE100" t="s">
        <v>284</v>
      </c>
      <c r="AG100" s="14" t="s">
        <v>698</v>
      </c>
      <c r="AH100" s="14" t="s">
        <v>343</v>
      </c>
    </row>
    <row r="101" spans="2:34" x14ac:dyDescent="0.3">
      <c r="B101" t="s">
        <v>9</v>
      </c>
      <c r="C101" t="s">
        <v>107</v>
      </c>
      <c r="D101">
        <v>200</v>
      </c>
      <c r="E101">
        <v>4</v>
      </c>
      <c r="F101">
        <v>1</v>
      </c>
      <c r="G101">
        <v>0</v>
      </c>
      <c r="K101" s="14" t="s">
        <v>9</v>
      </c>
      <c r="L101" s="14" t="s">
        <v>20</v>
      </c>
      <c r="AD101" t="s">
        <v>367</v>
      </c>
      <c r="AE101" t="s">
        <v>352</v>
      </c>
      <c r="AG101" s="14" t="s">
        <v>699</v>
      </c>
      <c r="AH101" s="14" t="s">
        <v>343</v>
      </c>
    </row>
    <row r="102" spans="2:34" x14ac:dyDescent="0.3">
      <c r="B102" t="s">
        <v>9</v>
      </c>
      <c r="C102" t="s">
        <v>108</v>
      </c>
      <c r="D102">
        <v>300</v>
      </c>
      <c r="E102">
        <v>6</v>
      </c>
      <c r="F102">
        <v>1</v>
      </c>
      <c r="G102">
        <v>0</v>
      </c>
      <c r="K102" s="14" t="s">
        <v>9</v>
      </c>
      <c r="L102" s="14" t="s">
        <v>23</v>
      </c>
      <c r="AD102" t="s">
        <v>368</v>
      </c>
      <c r="AE102" t="s">
        <v>343</v>
      </c>
      <c r="AG102" s="14" t="s">
        <v>583</v>
      </c>
      <c r="AH102" s="14" t="s">
        <v>343</v>
      </c>
    </row>
    <row r="103" spans="2:34" x14ac:dyDescent="0.3">
      <c r="B103" t="s">
        <v>9</v>
      </c>
      <c r="C103" t="s">
        <v>109</v>
      </c>
      <c r="D103">
        <v>250</v>
      </c>
      <c r="E103">
        <v>5</v>
      </c>
      <c r="F103">
        <v>1</v>
      </c>
      <c r="G103">
        <v>0</v>
      </c>
      <c r="K103" s="14" t="s">
        <v>9</v>
      </c>
      <c r="L103" s="14" t="s">
        <v>22</v>
      </c>
      <c r="AD103" t="s">
        <v>369</v>
      </c>
      <c r="AE103" t="s">
        <v>343</v>
      </c>
      <c r="AG103" s="14" t="s">
        <v>478</v>
      </c>
      <c r="AH103" s="14" t="s">
        <v>343</v>
      </c>
    </row>
    <row r="104" spans="2:34" x14ac:dyDescent="0.3">
      <c r="B104" t="s">
        <v>9</v>
      </c>
      <c r="C104" t="s">
        <v>110</v>
      </c>
      <c r="D104">
        <v>300</v>
      </c>
      <c r="E104">
        <v>6</v>
      </c>
      <c r="F104">
        <v>0</v>
      </c>
      <c r="G104">
        <v>0</v>
      </c>
      <c r="K104" s="14" t="s">
        <v>9</v>
      </c>
      <c r="L104" s="14" t="s">
        <v>67</v>
      </c>
      <c r="AD104" t="s">
        <v>370</v>
      </c>
      <c r="AE104" t="s">
        <v>352</v>
      </c>
      <c r="AF104" t="s">
        <v>226</v>
      </c>
      <c r="AG104" s="14" t="s">
        <v>806</v>
      </c>
      <c r="AH104" s="14" t="s">
        <v>343</v>
      </c>
    </row>
    <row r="105" spans="2:34" x14ac:dyDescent="0.3">
      <c r="B105" t="s">
        <v>9</v>
      </c>
      <c r="C105" t="s">
        <v>111</v>
      </c>
      <c r="D105">
        <v>300</v>
      </c>
      <c r="E105">
        <v>6</v>
      </c>
      <c r="F105">
        <v>1</v>
      </c>
      <c r="G105">
        <v>0</v>
      </c>
      <c r="K105" s="14" t="s">
        <v>9</v>
      </c>
      <c r="L105" s="14" t="s">
        <v>66</v>
      </c>
      <c r="AD105" t="s">
        <v>371</v>
      </c>
      <c r="AE105" t="s">
        <v>343</v>
      </c>
      <c r="AG105" s="14" t="s">
        <v>658</v>
      </c>
      <c r="AH105" s="14" t="s">
        <v>343</v>
      </c>
    </row>
    <row r="106" spans="2:34" x14ac:dyDescent="0.3">
      <c r="B106" t="s">
        <v>9</v>
      </c>
      <c r="C106" t="s">
        <v>112</v>
      </c>
      <c r="D106">
        <v>250</v>
      </c>
      <c r="E106">
        <v>5</v>
      </c>
      <c r="F106">
        <v>1</v>
      </c>
      <c r="G106">
        <v>0</v>
      </c>
      <c r="K106" s="14" t="s">
        <v>9</v>
      </c>
      <c r="L106" s="14" t="s">
        <v>69</v>
      </c>
      <c r="AD106" t="s">
        <v>372</v>
      </c>
      <c r="AE106" t="s">
        <v>243</v>
      </c>
      <c r="AG106" s="14" t="s">
        <v>652</v>
      </c>
      <c r="AH106" s="14" t="s">
        <v>343</v>
      </c>
    </row>
    <row r="107" spans="2:34" x14ac:dyDescent="0.3">
      <c r="B107" t="s">
        <v>113</v>
      </c>
      <c r="C107" t="s">
        <v>114</v>
      </c>
      <c r="D107">
        <v>250</v>
      </c>
      <c r="E107">
        <v>6</v>
      </c>
      <c r="F107">
        <v>0</v>
      </c>
      <c r="G107">
        <v>0</v>
      </c>
      <c r="K107" s="14" t="s">
        <v>9</v>
      </c>
      <c r="L107" s="14" t="s">
        <v>68</v>
      </c>
      <c r="AD107" t="s">
        <v>373</v>
      </c>
      <c r="AE107" t="s">
        <v>343</v>
      </c>
      <c r="AG107" s="14" t="s">
        <v>972</v>
      </c>
      <c r="AH107" s="14" t="s">
        <v>343</v>
      </c>
    </row>
    <row r="108" spans="2:34" x14ac:dyDescent="0.3">
      <c r="B108" t="s">
        <v>113</v>
      </c>
      <c r="C108" t="s">
        <v>115</v>
      </c>
      <c r="D108">
        <v>250</v>
      </c>
      <c r="E108">
        <v>6</v>
      </c>
      <c r="F108">
        <v>0</v>
      </c>
      <c r="G108">
        <v>0</v>
      </c>
      <c r="K108" s="14" t="s">
        <v>9</v>
      </c>
      <c r="L108" s="14" t="s">
        <v>63</v>
      </c>
      <c r="AD108" t="s">
        <v>374</v>
      </c>
      <c r="AE108" t="s">
        <v>343</v>
      </c>
      <c r="AG108" s="14" t="s">
        <v>743</v>
      </c>
      <c r="AH108" s="14" t="s">
        <v>343</v>
      </c>
    </row>
    <row r="109" spans="2:34" x14ac:dyDescent="0.3">
      <c r="B109" t="s">
        <v>113</v>
      </c>
      <c r="C109" t="s">
        <v>116</v>
      </c>
      <c r="D109">
        <v>250</v>
      </c>
      <c r="E109">
        <v>6</v>
      </c>
      <c r="F109">
        <v>0</v>
      </c>
      <c r="G109">
        <v>0</v>
      </c>
      <c r="K109" s="14" t="s">
        <v>9</v>
      </c>
      <c r="L109" s="14" t="s">
        <v>62</v>
      </c>
      <c r="AD109" t="s">
        <v>375</v>
      </c>
      <c r="AE109" t="s">
        <v>376</v>
      </c>
      <c r="AG109" s="14" t="s">
        <v>966</v>
      </c>
      <c r="AH109" s="14" t="s">
        <v>343</v>
      </c>
    </row>
    <row r="110" spans="2:34" x14ac:dyDescent="0.3">
      <c r="B110" t="s">
        <v>113</v>
      </c>
      <c r="C110" t="s">
        <v>117</v>
      </c>
      <c r="D110">
        <v>200</v>
      </c>
      <c r="E110">
        <v>6</v>
      </c>
      <c r="F110">
        <v>0</v>
      </c>
      <c r="G110">
        <v>0</v>
      </c>
      <c r="K110" s="14" t="s">
        <v>9</v>
      </c>
      <c r="L110" s="14" t="s">
        <v>65</v>
      </c>
      <c r="AD110" t="s">
        <v>377</v>
      </c>
      <c r="AE110" t="s">
        <v>278</v>
      </c>
      <c r="AG110" s="14" t="s">
        <v>895</v>
      </c>
      <c r="AH110" s="14" t="s">
        <v>343</v>
      </c>
    </row>
    <row r="111" spans="2:34" x14ac:dyDescent="0.3">
      <c r="B111" t="s">
        <v>113</v>
      </c>
      <c r="C111" t="s">
        <v>118</v>
      </c>
      <c r="D111">
        <v>200</v>
      </c>
      <c r="E111">
        <v>6</v>
      </c>
      <c r="F111">
        <v>0</v>
      </c>
      <c r="G111">
        <v>0</v>
      </c>
      <c r="K111" s="14" t="s">
        <v>9</v>
      </c>
      <c r="L111" s="14" t="s">
        <v>64</v>
      </c>
      <c r="AD111" t="s">
        <v>378</v>
      </c>
      <c r="AE111" t="s">
        <v>343</v>
      </c>
      <c r="AG111" s="14" t="s">
        <v>876</v>
      </c>
      <c r="AH111" s="14" t="s">
        <v>343</v>
      </c>
    </row>
    <row r="112" spans="2:34" x14ac:dyDescent="0.3">
      <c r="B112" t="s">
        <v>113</v>
      </c>
      <c r="C112" t="s">
        <v>119</v>
      </c>
      <c r="D112">
        <v>200</v>
      </c>
      <c r="E112">
        <v>5</v>
      </c>
      <c r="F112">
        <v>0</v>
      </c>
      <c r="G112">
        <v>0</v>
      </c>
      <c r="K112" s="14" t="s">
        <v>9</v>
      </c>
      <c r="L112" s="14" t="s">
        <v>75</v>
      </c>
      <c r="AD112" t="s">
        <v>379</v>
      </c>
      <c r="AE112" t="s">
        <v>243</v>
      </c>
      <c r="AG112" s="14" t="s">
        <v>878</v>
      </c>
      <c r="AH112" s="14" t="s">
        <v>343</v>
      </c>
    </row>
    <row r="113" spans="2:34" x14ac:dyDescent="0.3">
      <c r="B113" t="s">
        <v>113</v>
      </c>
      <c r="C113" t="s">
        <v>120</v>
      </c>
      <c r="D113">
        <v>200</v>
      </c>
      <c r="E113">
        <v>5</v>
      </c>
      <c r="F113">
        <v>1</v>
      </c>
      <c r="G113">
        <v>0</v>
      </c>
      <c r="K113" s="14" t="s">
        <v>9</v>
      </c>
      <c r="L113" s="14" t="s">
        <v>74</v>
      </c>
      <c r="AD113" t="s">
        <v>380</v>
      </c>
      <c r="AE113" t="s">
        <v>258</v>
      </c>
      <c r="AG113" s="14" t="s">
        <v>772</v>
      </c>
      <c r="AH113" s="14" t="s">
        <v>343</v>
      </c>
    </row>
    <row r="114" spans="2:34" x14ac:dyDescent="0.3">
      <c r="B114" t="s">
        <v>113</v>
      </c>
      <c r="C114" t="s">
        <v>121</v>
      </c>
      <c r="D114">
        <v>200</v>
      </c>
      <c r="E114">
        <v>6</v>
      </c>
      <c r="F114">
        <v>0</v>
      </c>
      <c r="G114">
        <v>0</v>
      </c>
      <c r="K114" s="14" t="s">
        <v>9</v>
      </c>
      <c r="L114" s="14" t="s">
        <v>77</v>
      </c>
      <c r="AD114" t="s">
        <v>381</v>
      </c>
      <c r="AE114" t="s">
        <v>284</v>
      </c>
      <c r="AG114" s="14" t="s">
        <v>808</v>
      </c>
      <c r="AH114" s="14" t="s">
        <v>343</v>
      </c>
    </row>
    <row r="115" spans="2:34" x14ac:dyDescent="0.3">
      <c r="B115" t="s">
        <v>113</v>
      </c>
      <c r="C115" t="s">
        <v>122</v>
      </c>
      <c r="D115">
        <v>200</v>
      </c>
      <c r="E115">
        <v>5</v>
      </c>
      <c r="F115">
        <v>0</v>
      </c>
      <c r="G115">
        <v>0</v>
      </c>
      <c r="K115" s="14" t="s">
        <v>9</v>
      </c>
      <c r="L115" s="14" t="s">
        <v>76</v>
      </c>
      <c r="AD115" t="s">
        <v>382</v>
      </c>
      <c r="AE115" t="s">
        <v>343</v>
      </c>
      <c r="AG115" s="14" t="s">
        <v>546</v>
      </c>
      <c r="AH115" s="14" t="s">
        <v>343</v>
      </c>
    </row>
    <row r="116" spans="2:34" x14ac:dyDescent="0.3">
      <c r="B116" t="s">
        <v>113</v>
      </c>
      <c r="C116" t="s">
        <v>123</v>
      </c>
      <c r="D116">
        <v>200</v>
      </c>
      <c r="E116">
        <v>6</v>
      </c>
      <c r="F116">
        <v>0</v>
      </c>
      <c r="G116">
        <v>0</v>
      </c>
      <c r="K116" s="14" t="s">
        <v>9</v>
      </c>
      <c r="L116" s="14" t="s">
        <v>71</v>
      </c>
      <c r="AD116" t="s">
        <v>383</v>
      </c>
      <c r="AE116" t="s">
        <v>343</v>
      </c>
      <c r="AG116" s="14" t="s">
        <v>986</v>
      </c>
      <c r="AH116" s="14" t="s">
        <v>987</v>
      </c>
    </row>
    <row r="117" spans="2:34" x14ac:dyDescent="0.3">
      <c r="B117" t="s">
        <v>113</v>
      </c>
      <c r="C117" t="s">
        <v>124</v>
      </c>
      <c r="D117">
        <v>200</v>
      </c>
      <c r="E117">
        <v>6</v>
      </c>
      <c r="F117">
        <v>0</v>
      </c>
      <c r="G117">
        <v>0</v>
      </c>
      <c r="K117" s="14" t="s">
        <v>9</v>
      </c>
      <c r="L117" s="14" t="s">
        <v>70</v>
      </c>
      <c r="AD117" t="s">
        <v>384</v>
      </c>
      <c r="AE117" t="s">
        <v>258</v>
      </c>
      <c r="AG117" s="14" t="s">
        <v>879</v>
      </c>
      <c r="AH117" s="14" t="s">
        <v>880</v>
      </c>
    </row>
    <row r="118" spans="2:34" x14ac:dyDescent="0.3">
      <c r="B118" t="s">
        <v>113</v>
      </c>
      <c r="C118" t="s">
        <v>125</v>
      </c>
      <c r="D118">
        <v>200</v>
      </c>
      <c r="E118">
        <v>5</v>
      </c>
      <c r="F118">
        <v>1</v>
      </c>
      <c r="G118">
        <v>0</v>
      </c>
      <c r="K118" s="14" t="s">
        <v>9</v>
      </c>
      <c r="L118" s="14" t="s">
        <v>73</v>
      </c>
      <c r="AD118" t="s">
        <v>385</v>
      </c>
      <c r="AE118" t="s">
        <v>386</v>
      </c>
      <c r="AG118" s="14" t="s">
        <v>810</v>
      </c>
      <c r="AH118" s="14" t="s">
        <v>811</v>
      </c>
    </row>
    <row r="119" spans="2:34" x14ac:dyDescent="0.3">
      <c r="B119" t="s">
        <v>113</v>
      </c>
      <c r="C119" t="s">
        <v>126</v>
      </c>
      <c r="D119">
        <v>200</v>
      </c>
      <c r="E119">
        <v>5</v>
      </c>
      <c r="F119">
        <v>1</v>
      </c>
      <c r="G119">
        <v>0</v>
      </c>
      <c r="K119" s="14" t="s">
        <v>9</v>
      </c>
      <c r="L119" s="14" t="s">
        <v>72</v>
      </c>
      <c r="AD119" t="s">
        <v>387</v>
      </c>
      <c r="AE119" t="s">
        <v>343</v>
      </c>
      <c r="AG119" s="14" t="s">
        <v>541</v>
      </c>
      <c r="AH119" s="14" t="s">
        <v>365</v>
      </c>
    </row>
    <row r="120" spans="2:34" x14ac:dyDescent="0.3">
      <c r="B120" t="s">
        <v>113</v>
      </c>
      <c r="C120" t="s">
        <v>127</v>
      </c>
      <c r="D120">
        <v>200</v>
      </c>
      <c r="E120">
        <v>5</v>
      </c>
      <c r="F120">
        <v>1</v>
      </c>
      <c r="G120">
        <v>0</v>
      </c>
      <c r="K120" s="14" t="s">
        <v>9</v>
      </c>
      <c r="L120" s="14" t="s">
        <v>51</v>
      </c>
      <c r="AD120" t="s">
        <v>388</v>
      </c>
      <c r="AE120" t="s">
        <v>386</v>
      </c>
      <c r="AG120" s="14" t="s">
        <v>364</v>
      </c>
      <c r="AH120" s="14" t="s">
        <v>365</v>
      </c>
    </row>
    <row r="121" spans="2:34" x14ac:dyDescent="0.3">
      <c r="B121" t="s">
        <v>113</v>
      </c>
      <c r="C121" t="s">
        <v>128</v>
      </c>
      <c r="D121">
        <v>125</v>
      </c>
      <c r="E121">
        <v>6</v>
      </c>
      <c r="F121">
        <v>0</v>
      </c>
      <c r="G121">
        <v>0</v>
      </c>
      <c r="K121" s="14" t="s">
        <v>9</v>
      </c>
      <c r="L121" s="14" t="s">
        <v>50</v>
      </c>
      <c r="AD121" t="s">
        <v>389</v>
      </c>
      <c r="AE121" t="s">
        <v>258</v>
      </c>
      <c r="AG121" s="14" t="s">
        <v>443</v>
      </c>
      <c r="AH121" s="14" t="s">
        <v>365</v>
      </c>
    </row>
    <row r="122" spans="2:34" x14ac:dyDescent="0.3">
      <c r="B122" t="s">
        <v>113</v>
      </c>
      <c r="C122" t="s">
        <v>129</v>
      </c>
      <c r="D122">
        <v>125</v>
      </c>
      <c r="E122">
        <v>6</v>
      </c>
      <c r="F122">
        <v>0</v>
      </c>
      <c r="G122">
        <v>0</v>
      </c>
      <c r="K122" s="14" t="s">
        <v>9</v>
      </c>
      <c r="L122" s="14" t="s">
        <v>53</v>
      </c>
      <c r="AD122" t="s">
        <v>390</v>
      </c>
      <c r="AE122" t="s">
        <v>343</v>
      </c>
      <c r="AG122" s="14" t="s">
        <v>562</v>
      </c>
      <c r="AH122" s="14" t="s">
        <v>445</v>
      </c>
    </row>
    <row r="123" spans="2:34" x14ac:dyDescent="0.3">
      <c r="B123" t="s">
        <v>113</v>
      </c>
      <c r="C123" t="s">
        <v>130</v>
      </c>
      <c r="D123">
        <v>100</v>
      </c>
      <c r="E123">
        <v>3</v>
      </c>
      <c r="F123">
        <v>0</v>
      </c>
      <c r="G123">
        <v>0</v>
      </c>
      <c r="K123" s="14" t="s">
        <v>9</v>
      </c>
      <c r="L123" s="14" t="s">
        <v>52</v>
      </c>
      <c r="AD123" t="s">
        <v>391</v>
      </c>
      <c r="AE123" t="s">
        <v>343</v>
      </c>
      <c r="AG123" s="14" t="s">
        <v>444</v>
      </c>
      <c r="AH123" s="14" t="s">
        <v>445</v>
      </c>
    </row>
    <row r="124" spans="2:34" x14ac:dyDescent="0.3">
      <c r="B124" t="s">
        <v>113</v>
      </c>
      <c r="C124" t="s">
        <v>131</v>
      </c>
      <c r="D124">
        <v>100</v>
      </c>
      <c r="E124">
        <v>3</v>
      </c>
      <c r="F124">
        <v>0</v>
      </c>
      <c r="G124">
        <v>0</v>
      </c>
      <c r="K124" s="14" t="s">
        <v>9</v>
      </c>
      <c r="L124" s="14" t="s">
        <v>47</v>
      </c>
      <c r="AD124" t="s">
        <v>392</v>
      </c>
      <c r="AE124" t="s">
        <v>343</v>
      </c>
      <c r="AG124" s="14" t="s">
        <v>872</v>
      </c>
      <c r="AH124" s="14" t="s">
        <v>445</v>
      </c>
    </row>
    <row r="125" spans="2:34" x14ac:dyDescent="0.3">
      <c r="B125" t="s">
        <v>113</v>
      </c>
      <c r="C125" t="s">
        <v>132</v>
      </c>
      <c r="D125">
        <v>100</v>
      </c>
      <c r="E125">
        <v>5</v>
      </c>
      <c r="F125">
        <v>0</v>
      </c>
      <c r="G125">
        <v>0</v>
      </c>
      <c r="K125" s="14" t="s">
        <v>9</v>
      </c>
      <c r="L125" s="14" t="s">
        <v>46</v>
      </c>
      <c r="AD125" t="s">
        <v>393</v>
      </c>
      <c r="AE125" t="s">
        <v>394</v>
      </c>
      <c r="AG125" s="14" t="s">
        <v>587</v>
      </c>
      <c r="AH125" s="14" t="s">
        <v>588</v>
      </c>
    </row>
    <row r="126" spans="2:34" x14ac:dyDescent="0.3">
      <c r="B126" t="s">
        <v>113</v>
      </c>
      <c r="C126" t="s">
        <v>133</v>
      </c>
      <c r="D126">
        <v>100</v>
      </c>
      <c r="E126">
        <v>2</v>
      </c>
      <c r="F126">
        <v>1</v>
      </c>
      <c r="G126">
        <v>0</v>
      </c>
      <c r="K126" s="14" t="s">
        <v>9</v>
      </c>
      <c r="L126" s="14" t="s">
        <v>49</v>
      </c>
      <c r="AD126" t="s">
        <v>395</v>
      </c>
      <c r="AE126" t="s">
        <v>343</v>
      </c>
      <c r="AG126" s="14" t="s">
        <v>758</v>
      </c>
      <c r="AH126" s="14" t="s">
        <v>759</v>
      </c>
    </row>
    <row r="127" spans="2:34" x14ac:dyDescent="0.3">
      <c r="B127" t="s">
        <v>134</v>
      </c>
      <c r="C127" t="s">
        <v>135</v>
      </c>
      <c r="D127">
        <v>300</v>
      </c>
      <c r="E127">
        <v>4</v>
      </c>
      <c r="F127">
        <v>1</v>
      </c>
      <c r="G127">
        <v>0</v>
      </c>
      <c r="K127" s="14" t="s">
        <v>9</v>
      </c>
      <c r="L127" s="14" t="s">
        <v>48</v>
      </c>
      <c r="AD127" t="s">
        <v>396</v>
      </c>
      <c r="AE127" t="s">
        <v>258</v>
      </c>
      <c r="AG127" s="14" t="s">
        <v>981</v>
      </c>
      <c r="AH127" s="14" t="s">
        <v>240</v>
      </c>
    </row>
    <row r="128" spans="2:34" x14ac:dyDescent="0.3">
      <c r="B128" t="s">
        <v>134</v>
      </c>
      <c r="C128" t="s">
        <v>136</v>
      </c>
      <c r="D128">
        <v>300</v>
      </c>
      <c r="E128">
        <v>4</v>
      </c>
      <c r="F128">
        <v>0</v>
      </c>
      <c r="G128">
        <v>0</v>
      </c>
      <c r="K128" s="14" t="s">
        <v>9</v>
      </c>
      <c r="L128" s="14" t="s">
        <v>59</v>
      </c>
      <c r="AD128" t="s">
        <v>397</v>
      </c>
      <c r="AE128" t="s">
        <v>258</v>
      </c>
      <c r="AG128" s="14" t="s">
        <v>787</v>
      </c>
      <c r="AH128" s="14" t="s">
        <v>240</v>
      </c>
    </row>
    <row r="129" spans="2:34" x14ac:dyDescent="0.3">
      <c r="B129" t="s">
        <v>134</v>
      </c>
      <c r="C129" t="s">
        <v>137</v>
      </c>
      <c r="D129">
        <v>225</v>
      </c>
      <c r="E129">
        <v>3</v>
      </c>
      <c r="F129">
        <v>1</v>
      </c>
      <c r="G129">
        <v>0</v>
      </c>
      <c r="K129" s="14" t="s">
        <v>9</v>
      </c>
      <c r="L129" s="14" t="s">
        <v>58</v>
      </c>
      <c r="AD129" t="s">
        <v>398</v>
      </c>
      <c r="AE129" t="s">
        <v>243</v>
      </c>
      <c r="AG129" s="14" t="s">
        <v>574</v>
      </c>
      <c r="AH129" s="14" t="s">
        <v>240</v>
      </c>
    </row>
    <row r="130" spans="2:34" x14ac:dyDescent="0.3">
      <c r="B130" t="s">
        <v>134</v>
      </c>
      <c r="C130" t="s">
        <v>138</v>
      </c>
      <c r="D130">
        <v>225</v>
      </c>
      <c r="E130">
        <v>3</v>
      </c>
      <c r="F130">
        <v>0</v>
      </c>
      <c r="G130">
        <v>0</v>
      </c>
      <c r="K130" s="14" t="s">
        <v>9</v>
      </c>
      <c r="L130" s="14" t="s">
        <v>61</v>
      </c>
      <c r="AD130" t="s">
        <v>399</v>
      </c>
      <c r="AE130" t="s">
        <v>400</v>
      </c>
      <c r="AG130" s="14" t="s">
        <v>866</v>
      </c>
      <c r="AH130" s="14" t="s">
        <v>867</v>
      </c>
    </row>
    <row r="131" spans="2:34" x14ac:dyDescent="0.3">
      <c r="B131" t="s">
        <v>134</v>
      </c>
      <c r="C131" t="s">
        <v>139</v>
      </c>
      <c r="D131">
        <v>150</v>
      </c>
      <c r="E131">
        <v>2</v>
      </c>
      <c r="F131">
        <v>1</v>
      </c>
      <c r="G131">
        <v>0</v>
      </c>
      <c r="K131" s="14" t="s">
        <v>9</v>
      </c>
      <c r="L131" s="14" t="s">
        <v>60</v>
      </c>
      <c r="AD131" t="s">
        <v>401</v>
      </c>
      <c r="AE131" t="s">
        <v>402</v>
      </c>
      <c r="AG131" s="14" t="s">
        <v>923</v>
      </c>
      <c r="AH131" s="14" t="s">
        <v>824</v>
      </c>
    </row>
    <row r="132" spans="2:34" x14ac:dyDescent="0.3">
      <c r="B132" t="s">
        <v>134</v>
      </c>
      <c r="C132" t="s">
        <v>140</v>
      </c>
      <c r="D132">
        <v>150</v>
      </c>
      <c r="E132">
        <v>2</v>
      </c>
      <c r="F132">
        <v>0</v>
      </c>
      <c r="G132">
        <v>0</v>
      </c>
      <c r="K132" s="14" t="s">
        <v>9</v>
      </c>
      <c r="L132" s="14" t="s">
        <v>55</v>
      </c>
      <c r="AD132" t="s">
        <v>403</v>
      </c>
      <c r="AE132" t="s">
        <v>258</v>
      </c>
      <c r="AG132" s="14" t="s">
        <v>1022</v>
      </c>
      <c r="AH132" s="14" t="s">
        <v>824</v>
      </c>
    </row>
    <row r="133" spans="2:34" x14ac:dyDescent="0.3">
      <c r="B133" t="s">
        <v>113</v>
      </c>
      <c r="C133" t="s">
        <v>177</v>
      </c>
      <c r="D133">
        <v>292</v>
      </c>
      <c r="E133">
        <v>7</v>
      </c>
      <c r="F133">
        <v>0</v>
      </c>
      <c r="G133">
        <v>0</v>
      </c>
      <c r="K133" s="14" t="s">
        <v>9</v>
      </c>
      <c r="L133" s="14" t="s">
        <v>54</v>
      </c>
      <c r="AD133" t="s">
        <v>404</v>
      </c>
      <c r="AE133" t="s">
        <v>405</v>
      </c>
      <c r="AG133" s="14" t="s">
        <v>926</v>
      </c>
      <c r="AH133" s="14" t="s">
        <v>824</v>
      </c>
    </row>
    <row r="134" spans="2:34" x14ac:dyDescent="0.3">
      <c r="B134" t="s">
        <v>113</v>
      </c>
      <c r="C134" t="s">
        <v>160</v>
      </c>
      <c r="D134">
        <v>250</v>
      </c>
      <c r="E134">
        <v>5</v>
      </c>
      <c r="F134">
        <v>1</v>
      </c>
      <c r="G134">
        <v>0</v>
      </c>
      <c r="K134" s="14" t="s">
        <v>9</v>
      </c>
      <c r="L134" s="14" t="s">
        <v>57</v>
      </c>
      <c r="AD134" t="s">
        <v>406</v>
      </c>
      <c r="AE134" t="s">
        <v>407</v>
      </c>
      <c r="AG134" s="14" t="s">
        <v>823</v>
      </c>
      <c r="AH134" s="14" t="s">
        <v>824</v>
      </c>
    </row>
    <row r="135" spans="2:34" x14ac:dyDescent="0.3">
      <c r="B135" t="s">
        <v>113</v>
      </c>
      <c r="C135" t="s">
        <v>161</v>
      </c>
      <c r="D135">
        <v>250</v>
      </c>
      <c r="E135">
        <v>4</v>
      </c>
      <c r="F135">
        <v>2</v>
      </c>
      <c r="G135">
        <v>0</v>
      </c>
      <c r="K135" s="14" t="s">
        <v>9</v>
      </c>
      <c r="L135" s="14" t="s">
        <v>56</v>
      </c>
      <c r="AD135" t="s">
        <v>408</v>
      </c>
      <c r="AE135" t="s">
        <v>409</v>
      </c>
      <c r="AG135" s="14" t="s">
        <v>686</v>
      </c>
      <c r="AH135" s="14" t="s">
        <v>687</v>
      </c>
    </row>
    <row r="136" spans="2:34" x14ac:dyDescent="0.3">
      <c r="AD136" t="s">
        <v>410</v>
      </c>
      <c r="AE136" t="s">
        <v>258</v>
      </c>
      <c r="AG136" s="14" t="s">
        <v>790</v>
      </c>
      <c r="AH136" s="14" t="s">
        <v>687</v>
      </c>
    </row>
    <row r="137" spans="2:34" x14ac:dyDescent="0.3">
      <c r="AD137" t="s">
        <v>411</v>
      </c>
      <c r="AE137" t="s">
        <v>349</v>
      </c>
      <c r="AG137" s="14" t="s">
        <v>1011</v>
      </c>
      <c r="AH137" s="14" t="s">
        <v>1012</v>
      </c>
    </row>
    <row r="138" spans="2:34" x14ac:dyDescent="0.3">
      <c r="AD138" t="s">
        <v>412</v>
      </c>
      <c r="AE138" t="s">
        <v>258</v>
      </c>
      <c r="AG138" s="14" t="s">
        <v>716</v>
      </c>
      <c r="AH138" s="14" t="s">
        <v>717</v>
      </c>
    </row>
    <row r="139" spans="2:34" x14ac:dyDescent="0.3">
      <c r="AD139" t="s">
        <v>413</v>
      </c>
      <c r="AE139" t="s">
        <v>240</v>
      </c>
      <c r="AG139" s="14" t="s">
        <v>435</v>
      </c>
      <c r="AH139" s="14" t="s">
        <v>249</v>
      </c>
    </row>
    <row r="140" spans="2:34" x14ac:dyDescent="0.3">
      <c r="AD140" t="s">
        <v>414</v>
      </c>
      <c r="AE140" t="s">
        <v>415</v>
      </c>
      <c r="AG140" s="14" t="s">
        <v>248</v>
      </c>
      <c r="AH140" s="14" t="s">
        <v>249</v>
      </c>
    </row>
    <row r="141" spans="2:34" x14ac:dyDescent="0.3">
      <c r="AD141" t="s">
        <v>416</v>
      </c>
      <c r="AE141" t="s">
        <v>417</v>
      </c>
      <c r="AG141" s="14" t="s">
        <v>713</v>
      </c>
      <c r="AH141" s="14" t="s">
        <v>249</v>
      </c>
    </row>
    <row r="142" spans="2:34" x14ac:dyDescent="0.3">
      <c r="AD142" t="s">
        <v>418</v>
      </c>
      <c r="AE142" t="s">
        <v>243</v>
      </c>
      <c r="AG142" s="14" t="s">
        <v>793</v>
      </c>
      <c r="AH142" s="14" t="s">
        <v>794</v>
      </c>
    </row>
    <row r="143" spans="2:34" x14ac:dyDescent="0.3">
      <c r="AD143" t="s">
        <v>419</v>
      </c>
      <c r="AE143" t="s">
        <v>258</v>
      </c>
      <c r="AG143" s="14" t="s">
        <v>859</v>
      </c>
      <c r="AH143" s="14" t="s">
        <v>860</v>
      </c>
    </row>
    <row r="144" spans="2:34" x14ac:dyDescent="0.3">
      <c r="AD144" t="s">
        <v>420</v>
      </c>
      <c r="AE144" t="s">
        <v>258</v>
      </c>
      <c r="AG144" s="14" t="s">
        <v>882</v>
      </c>
      <c r="AH144" s="14" t="s">
        <v>860</v>
      </c>
    </row>
    <row r="145" spans="30:34" x14ac:dyDescent="0.3">
      <c r="AD145" t="s">
        <v>421</v>
      </c>
      <c r="AE145" t="s">
        <v>258</v>
      </c>
      <c r="AG145" s="14" t="s">
        <v>865</v>
      </c>
      <c r="AH145" s="14" t="s">
        <v>263</v>
      </c>
    </row>
    <row r="146" spans="30:34" x14ac:dyDescent="0.3">
      <c r="AD146" t="s">
        <v>422</v>
      </c>
      <c r="AE146" t="s">
        <v>343</v>
      </c>
      <c r="AG146" s="14" t="s">
        <v>727</v>
      </c>
      <c r="AH146" s="14" t="s">
        <v>263</v>
      </c>
    </row>
    <row r="147" spans="30:34" x14ac:dyDescent="0.3">
      <c r="AD147" t="s">
        <v>423</v>
      </c>
      <c r="AE147" t="s">
        <v>258</v>
      </c>
      <c r="AG147" s="14" t="s">
        <v>780</v>
      </c>
      <c r="AH147" s="14" t="s">
        <v>263</v>
      </c>
    </row>
    <row r="148" spans="30:34" x14ac:dyDescent="0.3">
      <c r="AD148" t="s">
        <v>424</v>
      </c>
      <c r="AE148" t="s">
        <v>243</v>
      </c>
      <c r="AG148" s="14" t="s">
        <v>440</v>
      </c>
      <c r="AH148" s="14" t="s">
        <v>263</v>
      </c>
    </row>
    <row r="149" spans="30:34" x14ac:dyDescent="0.3">
      <c r="AD149" t="s">
        <v>425</v>
      </c>
      <c r="AE149" t="s">
        <v>258</v>
      </c>
      <c r="AG149" s="14" t="s">
        <v>319</v>
      </c>
      <c r="AH149" s="14" t="s">
        <v>263</v>
      </c>
    </row>
    <row r="150" spans="30:34" x14ac:dyDescent="0.3">
      <c r="AD150" t="s">
        <v>426</v>
      </c>
      <c r="AE150" t="s">
        <v>386</v>
      </c>
      <c r="AG150" s="14" t="s">
        <v>262</v>
      </c>
      <c r="AH150" s="14" t="s">
        <v>263</v>
      </c>
    </row>
    <row r="151" spans="30:34" x14ac:dyDescent="0.3">
      <c r="AD151" t="s">
        <v>427</v>
      </c>
      <c r="AE151" t="s">
        <v>258</v>
      </c>
      <c r="AG151" s="14" t="s">
        <v>911</v>
      </c>
      <c r="AH151" s="14" t="s">
        <v>263</v>
      </c>
    </row>
    <row r="152" spans="30:34" x14ac:dyDescent="0.3">
      <c r="AD152" t="s">
        <v>428</v>
      </c>
      <c r="AE152" t="s">
        <v>343</v>
      </c>
      <c r="AG152" s="14" t="s">
        <v>710</v>
      </c>
      <c r="AH152" s="14" t="s">
        <v>263</v>
      </c>
    </row>
    <row r="153" spans="30:34" x14ac:dyDescent="0.3">
      <c r="AD153" t="s">
        <v>429</v>
      </c>
      <c r="AE153" t="s">
        <v>258</v>
      </c>
      <c r="AG153" s="14" t="s">
        <v>577</v>
      </c>
      <c r="AH153" s="14" t="s">
        <v>578</v>
      </c>
    </row>
    <row r="154" spans="30:34" x14ac:dyDescent="0.3">
      <c r="AD154" t="s">
        <v>430</v>
      </c>
      <c r="AE154" t="s">
        <v>343</v>
      </c>
      <c r="AG154" s="14" t="s">
        <v>528</v>
      </c>
      <c r="AH154" s="14" t="s">
        <v>386</v>
      </c>
    </row>
    <row r="155" spans="30:34" x14ac:dyDescent="0.3">
      <c r="AD155" t="s">
        <v>431</v>
      </c>
      <c r="AE155" t="s">
        <v>258</v>
      </c>
      <c r="AG155" s="14" t="s">
        <v>656</v>
      </c>
      <c r="AH155" s="14" t="s">
        <v>657</v>
      </c>
    </row>
    <row r="156" spans="30:34" x14ac:dyDescent="0.3">
      <c r="AD156" t="s">
        <v>432</v>
      </c>
      <c r="AE156" t="s">
        <v>386</v>
      </c>
      <c r="AG156" s="14" t="s">
        <v>857</v>
      </c>
      <c r="AH156" s="14" t="s">
        <v>657</v>
      </c>
    </row>
    <row r="157" spans="30:34" x14ac:dyDescent="0.3">
      <c r="AD157" t="s">
        <v>433</v>
      </c>
      <c r="AE157" t="s">
        <v>258</v>
      </c>
      <c r="AG157" s="14" t="s">
        <v>320</v>
      </c>
      <c r="AH157" s="14" t="s">
        <v>321</v>
      </c>
    </row>
    <row r="158" spans="30:34" x14ac:dyDescent="0.3">
      <c r="AD158" t="s">
        <v>434</v>
      </c>
      <c r="AE158" t="s">
        <v>343</v>
      </c>
      <c r="AG158" s="14" t="s">
        <v>838</v>
      </c>
      <c r="AH158" s="14" t="s">
        <v>839</v>
      </c>
    </row>
    <row r="159" spans="30:34" x14ac:dyDescent="0.3">
      <c r="AD159" t="s">
        <v>435</v>
      </c>
      <c r="AE159" t="s">
        <v>249</v>
      </c>
      <c r="AG159" s="14" t="s">
        <v>375</v>
      </c>
      <c r="AH159" s="14" t="s">
        <v>376</v>
      </c>
    </row>
    <row r="160" spans="30:34" x14ac:dyDescent="0.3">
      <c r="AD160" t="s">
        <v>436</v>
      </c>
      <c r="AE160" t="s">
        <v>437</v>
      </c>
      <c r="AG160" s="14" t="s">
        <v>1020</v>
      </c>
      <c r="AH160" s="14" t="s">
        <v>1021</v>
      </c>
    </row>
    <row r="161" spans="30:34" x14ac:dyDescent="0.3">
      <c r="AD161" t="s">
        <v>438</v>
      </c>
      <c r="AE161" t="s">
        <v>439</v>
      </c>
      <c r="AG161" s="14" t="s">
        <v>711</v>
      </c>
      <c r="AH161" s="14" t="s">
        <v>489</v>
      </c>
    </row>
    <row r="162" spans="30:34" x14ac:dyDescent="0.3">
      <c r="AD162" t="s">
        <v>440</v>
      </c>
      <c r="AE162" t="s">
        <v>263</v>
      </c>
      <c r="AG162" s="14" t="s">
        <v>762</v>
      </c>
      <c r="AH162" s="14" t="s">
        <v>489</v>
      </c>
    </row>
    <row r="163" spans="30:34" x14ac:dyDescent="0.3">
      <c r="AD163" t="s">
        <v>441</v>
      </c>
      <c r="AE163" t="s">
        <v>343</v>
      </c>
      <c r="AG163" s="14" t="s">
        <v>490</v>
      </c>
      <c r="AH163" s="14" t="s">
        <v>489</v>
      </c>
    </row>
    <row r="164" spans="30:34" x14ac:dyDescent="0.3">
      <c r="AD164" t="s">
        <v>442</v>
      </c>
      <c r="AE164" t="s">
        <v>258</v>
      </c>
      <c r="AG164" s="14" t="s">
        <v>965</v>
      </c>
      <c r="AH164" s="14" t="s">
        <v>489</v>
      </c>
    </row>
    <row r="165" spans="30:34" x14ac:dyDescent="0.3">
      <c r="AD165" t="s">
        <v>443</v>
      </c>
      <c r="AE165" t="s">
        <v>365</v>
      </c>
      <c r="AG165" s="14" t="s">
        <v>502</v>
      </c>
      <c r="AH165" s="14" t="s">
        <v>489</v>
      </c>
    </row>
    <row r="166" spans="30:34" x14ac:dyDescent="0.3">
      <c r="AD166" t="s">
        <v>444</v>
      </c>
      <c r="AE166" t="s">
        <v>445</v>
      </c>
      <c r="AG166" s="14" t="s">
        <v>915</v>
      </c>
      <c r="AH166" s="14" t="s">
        <v>489</v>
      </c>
    </row>
    <row r="167" spans="30:34" x14ac:dyDescent="0.3">
      <c r="AD167" t="s">
        <v>446</v>
      </c>
      <c r="AE167" t="s">
        <v>258</v>
      </c>
      <c r="AG167" s="14" t="s">
        <v>934</v>
      </c>
      <c r="AH167" s="14" t="s">
        <v>489</v>
      </c>
    </row>
    <row r="168" spans="30:34" x14ac:dyDescent="0.3">
      <c r="AD168" t="s">
        <v>447</v>
      </c>
      <c r="AE168" t="s">
        <v>448</v>
      </c>
      <c r="AG168" s="14" t="s">
        <v>488</v>
      </c>
      <c r="AH168" s="14" t="s">
        <v>489</v>
      </c>
    </row>
    <row r="169" spans="30:34" x14ac:dyDescent="0.3">
      <c r="AD169" t="s">
        <v>449</v>
      </c>
      <c r="AE169" t="s">
        <v>243</v>
      </c>
      <c r="AG169" s="14" t="s">
        <v>729</v>
      </c>
      <c r="AH169" s="14" t="s">
        <v>489</v>
      </c>
    </row>
    <row r="170" spans="30:34" x14ac:dyDescent="0.3">
      <c r="AD170" t="s">
        <v>450</v>
      </c>
      <c r="AE170" t="s">
        <v>258</v>
      </c>
      <c r="AG170" s="14" t="s">
        <v>690</v>
      </c>
      <c r="AH170" s="14" t="s">
        <v>284</v>
      </c>
    </row>
    <row r="171" spans="30:34" x14ac:dyDescent="0.3">
      <c r="AD171" t="s">
        <v>451</v>
      </c>
      <c r="AE171" t="s">
        <v>258</v>
      </c>
      <c r="AG171" s="14" t="s">
        <v>501</v>
      </c>
      <c r="AH171" s="14" t="s">
        <v>284</v>
      </c>
    </row>
    <row r="172" spans="30:34" x14ac:dyDescent="0.3">
      <c r="AD172" t="s">
        <v>452</v>
      </c>
      <c r="AE172" t="s">
        <v>453</v>
      </c>
      <c r="AG172" s="14" t="s">
        <v>335</v>
      </c>
      <c r="AH172" s="14" t="s">
        <v>284</v>
      </c>
    </row>
    <row r="173" spans="30:34" x14ac:dyDescent="0.3">
      <c r="AD173" t="s">
        <v>454</v>
      </c>
      <c r="AE173" t="s">
        <v>272</v>
      </c>
      <c r="AG173" s="14" t="s">
        <v>339</v>
      </c>
      <c r="AH173" s="14" t="s">
        <v>284</v>
      </c>
    </row>
    <row r="174" spans="30:34" x14ac:dyDescent="0.3">
      <c r="AD174" t="s">
        <v>455</v>
      </c>
      <c r="AE174" t="s">
        <v>258</v>
      </c>
      <c r="AG174" s="14" t="s">
        <v>708</v>
      </c>
      <c r="AH174" s="14" t="s">
        <v>284</v>
      </c>
    </row>
    <row r="175" spans="30:34" x14ac:dyDescent="0.3">
      <c r="AD175" t="s">
        <v>456</v>
      </c>
      <c r="AE175" t="s">
        <v>343</v>
      </c>
      <c r="AG175" s="14" t="s">
        <v>505</v>
      </c>
      <c r="AH175" s="14" t="s">
        <v>284</v>
      </c>
    </row>
    <row r="176" spans="30:34" x14ac:dyDescent="0.3">
      <c r="AD176" t="s">
        <v>457</v>
      </c>
      <c r="AE176" t="s">
        <v>258</v>
      </c>
      <c r="AG176" s="14" t="s">
        <v>366</v>
      </c>
      <c r="AH176" s="14" t="s">
        <v>284</v>
      </c>
    </row>
    <row r="177" spans="30:34" x14ac:dyDescent="0.3">
      <c r="AD177" t="s">
        <v>458</v>
      </c>
      <c r="AE177" t="s">
        <v>258</v>
      </c>
      <c r="AG177" s="14" t="s">
        <v>338</v>
      </c>
      <c r="AH177" s="14" t="s">
        <v>284</v>
      </c>
    </row>
    <row r="178" spans="30:34" x14ac:dyDescent="0.3">
      <c r="AD178" t="s">
        <v>459</v>
      </c>
      <c r="AE178" t="s">
        <v>343</v>
      </c>
      <c r="AG178" s="14" t="s">
        <v>785</v>
      </c>
      <c r="AH178" s="14" t="s">
        <v>284</v>
      </c>
    </row>
    <row r="179" spans="30:34" x14ac:dyDescent="0.3">
      <c r="AD179" t="s">
        <v>460</v>
      </c>
      <c r="AE179" t="s">
        <v>312</v>
      </c>
      <c r="AG179" s="14" t="s">
        <v>955</v>
      </c>
      <c r="AH179" s="14" t="s">
        <v>284</v>
      </c>
    </row>
    <row r="180" spans="30:34" x14ac:dyDescent="0.3">
      <c r="AD180" t="s">
        <v>461</v>
      </c>
      <c r="AE180" t="s">
        <v>312</v>
      </c>
      <c r="AG180" s="14" t="s">
        <v>316</v>
      </c>
      <c r="AH180" s="14" t="s">
        <v>284</v>
      </c>
    </row>
    <row r="181" spans="30:34" x14ac:dyDescent="0.3">
      <c r="AD181" t="s">
        <v>462</v>
      </c>
      <c r="AE181" t="s">
        <v>258</v>
      </c>
      <c r="AG181" s="14" t="s">
        <v>283</v>
      </c>
      <c r="AH181" s="14" t="s">
        <v>284</v>
      </c>
    </row>
    <row r="182" spans="30:34" x14ac:dyDescent="0.3">
      <c r="AD182" t="s">
        <v>463</v>
      </c>
      <c r="AE182" t="s">
        <v>258</v>
      </c>
      <c r="AG182" s="14" t="s">
        <v>828</v>
      </c>
      <c r="AH182" s="14" t="s">
        <v>284</v>
      </c>
    </row>
    <row r="183" spans="30:34" x14ac:dyDescent="0.3">
      <c r="AD183" t="s">
        <v>464</v>
      </c>
      <c r="AE183" t="s">
        <v>258</v>
      </c>
      <c r="AG183" s="14" t="s">
        <v>381</v>
      </c>
      <c r="AH183" s="14" t="s">
        <v>284</v>
      </c>
    </row>
    <row r="184" spans="30:34" x14ac:dyDescent="0.3">
      <c r="AD184" t="s">
        <v>465</v>
      </c>
      <c r="AE184" t="s">
        <v>258</v>
      </c>
      <c r="AG184" s="14" t="s">
        <v>337</v>
      </c>
      <c r="AH184" s="14" t="s">
        <v>284</v>
      </c>
    </row>
    <row r="185" spans="30:34" x14ac:dyDescent="0.3">
      <c r="AD185" t="s">
        <v>466</v>
      </c>
      <c r="AE185" t="s">
        <v>258</v>
      </c>
      <c r="AG185" s="14" t="s">
        <v>324</v>
      </c>
      <c r="AH185" s="14" t="s">
        <v>284</v>
      </c>
    </row>
    <row r="186" spans="30:34" x14ac:dyDescent="0.3">
      <c r="AD186" t="s">
        <v>467</v>
      </c>
      <c r="AE186" t="s">
        <v>468</v>
      </c>
      <c r="AG186" s="14" t="s">
        <v>323</v>
      </c>
      <c r="AH186" s="14" t="s">
        <v>284</v>
      </c>
    </row>
    <row r="187" spans="30:34" x14ac:dyDescent="0.3">
      <c r="AD187" t="s">
        <v>469</v>
      </c>
      <c r="AE187" t="s">
        <v>258</v>
      </c>
      <c r="AG187" s="14" t="s">
        <v>322</v>
      </c>
      <c r="AH187" s="14" t="s">
        <v>284</v>
      </c>
    </row>
    <row r="188" spans="30:34" x14ac:dyDescent="0.3">
      <c r="AD188" t="s">
        <v>470</v>
      </c>
      <c r="AE188" t="s">
        <v>258</v>
      </c>
      <c r="AG188" s="14" t="s">
        <v>557</v>
      </c>
      <c r="AH188" s="14" t="s">
        <v>284</v>
      </c>
    </row>
    <row r="189" spans="30:34" x14ac:dyDescent="0.3">
      <c r="AD189" t="s">
        <v>471</v>
      </c>
      <c r="AE189" t="s">
        <v>343</v>
      </c>
      <c r="AG189" s="14" t="s">
        <v>261</v>
      </c>
      <c r="AH189" s="14" t="s">
        <v>260</v>
      </c>
    </row>
    <row r="190" spans="30:34" x14ac:dyDescent="0.3">
      <c r="AD190" t="s">
        <v>472</v>
      </c>
      <c r="AE190" t="s">
        <v>258</v>
      </c>
      <c r="AG190" s="14" t="s">
        <v>259</v>
      </c>
      <c r="AH190" s="14" t="s">
        <v>260</v>
      </c>
    </row>
    <row r="191" spans="30:34" x14ac:dyDescent="0.3">
      <c r="AD191" t="s">
        <v>473</v>
      </c>
      <c r="AE191" t="s">
        <v>258</v>
      </c>
      <c r="AG191" s="14" t="s">
        <v>877</v>
      </c>
      <c r="AH191" s="14" t="s">
        <v>363</v>
      </c>
    </row>
    <row r="192" spans="30:34" x14ac:dyDescent="0.3">
      <c r="AD192" t="s">
        <v>474</v>
      </c>
      <c r="AE192" t="s">
        <v>448</v>
      </c>
      <c r="AG192" s="14" t="s">
        <v>362</v>
      </c>
      <c r="AH192" s="14" t="s">
        <v>363</v>
      </c>
    </row>
    <row r="193" spans="30:34" x14ac:dyDescent="0.3">
      <c r="AD193" t="s">
        <v>475</v>
      </c>
      <c r="AE193" t="s">
        <v>243</v>
      </c>
      <c r="AG193" s="14" t="s">
        <v>956</v>
      </c>
      <c r="AH193" s="14" t="s">
        <v>363</v>
      </c>
    </row>
    <row r="194" spans="30:34" x14ac:dyDescent="0.3">
      <c r="AD194" t="s">
        <v>476</v>
      </c>
      <c r="AE194" t="s">
        <v>343</v>
      </c>
      <c r="AG194" s="14" t="s">
        <v>608</v>
      </c>
      <c r="AH194" s="14" t="s">
        <v>363</v>
      </c>
    </row>
    <row r="195" spans="30:34" x14ac:dyDescent="0.3">
      <c r="AD195" t="s">
        <v>477</v>
      </c>
      <c r="AE195" t="s">
        <v>343</v>
      </c>
      <c r="AG195" s="14" t="s">
        <v>918</v>
      </c>
      <c r="AH195" s="14" t="s">
        <v>363</v>
      </c>
    </row>
    <row r="196" spans="30:34" x14ac:dyDescent="0.3">
      <c r="AD196" t="s">
        <v>478</v>
      </c>
      <c r="AE196" t="s">
        <v>343</v>
      </c>
      <c r="AG196" s="14" t="s">
        <v>404</v>
      </c>
      <c r="AH196" s="14" t="s">
        <v>405</v>
      </c>
    </row>
    <row r="197" spans="30:34" x14ac:dyDescent="0.3">
      <c r="AD197" t="s">
        <v>479</v>
      </c>
      <c r="AE197" t="s">
        <v>258</v>
      </c>
      <c r="AG197" s="14" t="s">
        <v>1013</v>
      </c>
      <c r="AH197" s="14" t="s">
        <v>405</v>
      </c>
    </row>
    <row r="198" spans="30:34" x14ac:dyDescent="0.3">
      <c r="AD198" t="s">
        <v>480</v>
      </c>
      <c r="AE198" t="s">
        <v>258</v>
      </c>
      <c r="AG198" s="14" t="s">
        <v>995</v>
      </c>
      <c r="AH198" s="14" t="s">
        <v>996</v>
      </c>
    </row>
    <row r="199" spans="30:34" x14ac:dyDescent="0.3">
      <c r="AD199" t="s">
        <v>481</v>
      </c>
      <c r="AE199" t="s">
        <v>482</v>
      </c>
      <c r="AG199" s="14" t="s">
        <v>801</v>
      </c>
      <c r="AH199" s="14" t="s">
        <v>802</v>
      </c>
    </row>
    <row r="200" spans="30:34" x14ac:dyDescent="0.3">
      <c r="AD200" t="s">
        <v>483</v>
      </c>
      <c r="AE200" t="s">
        <v>330</v>
      </c>
      <c r="AG200" s="14" t="s">
        <v>893</v>
      </c>
      <c r="AH200" s="14" t="s">
        <v>611</v>
      </c>
    </row>
    <row r="201" spans="30:34" x14ac:dyDescent="0.3">
      <c r="AD201" t="s">
        <v>484</v>
      </c>
      <c r="AE201" t="s">
        <v>352</v>
      </c>
      <c r="AG201" s="14" t="s">
        <v>610</v>
      </c>
      <c r="AH201" s="14" t="s">
        <v>611</v>
      </c>
    </row>
    <row r="202" spans="30:34" x14ac:dyDescent="0.3">
      <c r="AD202" t="s">
        <v>485</v>
      </c>
      <c r="AE202" t="s">
        <v>415</v>
      </c>
      <c r="AG202" s="14" t="s">
        <v>852</v>
      </c>
      <c r="AH202" s="14" t="s">
        <v>611</v>
      </c>
    </row>
    <row r="203" spans="30:34" x14ac:dyDescent="0.3">
      <c r="AD203" t="s">
        <v>486</v>
      </c>
      <c r="AE203" t="s">
        <v>258</v>
      </c>
      <c r="AG203" s="14" t="s">
        <v>736</v>
      </c>
      <c r="AH203" s="14" t="s">
        <v>611</v>
      </c>
    </row>
    <row r="204" spans="30:34" x14ac:dyDescent="0.3">
      <c r="AD204" t="s">
        <v>487</v>
      </c>
      <c r="AE204" t="s">
        <v>258</v>
      </c>
      <c r="AG204" s="14" t="s">
        <v>979</v>
      </c>
      <c r="AH204" s="14" t="s">
        <v>611</v>
      </c>
    </row>
    <row r="205" spans="30:34" x14ac:dyDescent="0.3">
      <c r="AD205" t="s">
        <v>488</v>
      </c>
      <c r="AE205" t="s">
        <v>489</v>
      </c>
      <c r="AG205" s="14" t="s">
        <v>304</v>
      </c>
      <c r="AH205" s="14" t="s">
        <v>305</v>
      </c>
    </row>
    <row r="206" spans="30:34" x14ac:dyDescent="0.3">
      <c r="AD206" t="s">
        <v>490</v>
      </c>
      <c r="AE206" t="s">
        <v>489</v>
      </c>
      <c r="AG206" s="14" t="s">
        <v>438</v>
      </c>
      <c r="AH206" s="14" t="s">
        <v>439</v>
      </c>
    </row>
    <row r="207" spans="30:34" x14ac:dyDescent="0.3">
      <c r="AD207" t="s">
        <v>491</v>
      </c>
      <c r="AE207" t="s">
        <v>492</v>
      </c>
      <c r="AG207" s="14" t="s">
        <v>235</v>
      </c>
      <c r="AH207" s="14" t="s">
        <v>236</v>
      </c>
    </row>
    <row r="208" spans="30:34" x14ac:dyDescent="0.3">
      <c r="AD208" t="s">
        <v>493</v>
      </c>
      <c r="AE208" t="s">
        <v>258</v>
      </c>
      <c r="AG208" s="14" t="s">
        <v>464</v>
      </c>
      <c r="AH208" s="14" t="s">
        <v>258</v>
      </c>
    </row>
    <row r="209" spans="30:34" x14ac:dyDescent="0.3">
      <c r="AD209" t="s">
        <v>494</v>
      </c>
      <c r="AE209" t="s">
        <v>258</v>
      </c>
      <c r="AG209" s="14" t="s">
        <v>647</v>
      </c>
      <c r="AH209" s="14" t="s">
        <v>258</v>
      </c>
    </row>
    <row r="210" spans="30:34" x14ac:dyDescent="0.3">
      <c r="AD210" t="s">
        <v>495</v>
      </c>
      <c r="AE210" t="s">
        <v>352</v>
      </c>
      <c r="AG210" s="14" t="s">
        <v>433</v>
      </c>
      <c r="AH210" s="14" t="s">
        <v>258</v>
      </c>
    </row>
    <row r="211" spans="30:34" x14ac:dyDescent="0.3">
      <c r="AD211" t="s">
        <v>496</v>
      </c>
      <c r="AE211" t="s">
        <v>258</v>
      </c>
      <c r="AG211" s="14" t="s">
        <v>825</v>
      </c>
      <c r="AH211" s="14" t="s">
        <v>258</v>
      </c>
    </row>
    <row r="212" spans="30:34" x14ac:dyDescent="0.3">
      <c r="AD212" t="s">
        <v>497</v>
      </c>
      <c r="AE212" t="s">
        <v>498</v>
      </c>
      <c r="AG212" s="14" t="s">
        <v>957</v>
      </c>
      <c r="AH212" s="14" t="s">
        <v>258</v>
      </c>
    </row>
    <row r="213" spans="30:34" x14ac:dyDescent="0.3">
      <c r="AD213" t="s">
        <v>499</v>
      </c>
      <c r="AE213" t="s">
        <v>500</v>
      </c>
      <c r="AG213" s="14" t="s">
        <v>969</v>
      </c>
      <c r="AH213" s="14" t="s">
        <v>258</v>
      </c>
    </row>
    <row r="214" spans="30:34" x14ac:dyDescent="0.3">
      <c r="AD214" t="s">
        <v>501</v>
      </c>
      <c r="AE214" t="s">
        <v>284</v>
      </c>
      <c r="AG214" s="14" t="s">
        <v>925</v>
      </c>
      <c r="AH214" s="14" t="s">
        <v>258</v>
      </c>
    </row>
    <row r="215" spans="30:34" x14ac:dyDescent="0.3">
      <c r="AD215" t="s">
        <v>502</v>
      </c>
      <c r="AE215" t="s">
        <v>489</v>
      </c>
      <c r="AG215" s="14" t="s">
        <v>993</v>
      </c>
      <c r="AH215" s="14" t="s">
        <v>258</v>
      </c>
    </row>
    <row r="216" spans="30:34" x14ac:dyDescent="0.3">
      <c r="AD216" t="s">
        <v>503</v>
      </c>
      <c r="AE216" t="s">
        <v>504</v>
      </c>
      <c r="AG216" s="14" t="s">
        <v>769</v>
      </c>
      <c r="AH216" s="14" t="s">
        <v>258</v>
      </c>
    </row>
    <row r="217" spans="30:34" x14ac:dyDescent="0.3">
      <c r="AD217" t="s">
        <v>505</v>
      </c>
      <c r="AE217" t="s">
        <v>284</v>
      </c>
      <c r="AG217" s="14" t="s">
        <v>960</v>
      </c>
      <c r="AH217" s="14" t="s">
        <v>258</v>
      </c>
    </row>
    <row r="218" spans="30:34" x14ac:dyDescent="0.3">
      <c r="AD218" t="s">
        <v>506</v>
      </c>
      <c r="AE218" t="s">
        <v>343</v>
      </c>
      <c r="AG218" s="14" t="s">
        <v>766</v>
      </c>
      <c r="AH218" s="14" t="s">
        <v>258</v>
      </c>
    </row>
    <row r="219" spans="30:34" x14ac:dyDescent="0.3">
      <c r="AD219" t="s">
        <v>507</v>
      </c>
      <c r="AE219" t="s">
        <v>508</v>
      </c>
      <c r="AG219" s="14" t="s">
        <v>524</v>
      </c>
      <c r="AH219" s="14" t="s">
        <v>258</v>
      </c>
    </row>
    <row r="220" spans="30:34" x14ac:dyDescent="0.3">
      <c r="AD220" t="s">
        <v>509</v>
      </c>
      <c r="AE220" t="s">
        <v>343</v>
      </c>
      <c r="AG220" s="14" t="s">
        <v>851</v>
      </c>
      <c r="AH220" s="14" t="s">
        <v>258</v>
      </c>
    </row>
    <row r="221" spans="30:34" x14ac:dyDescent="0.3">
      <c r="AD221" t="s">
        <v>510</v>
      </c>
      <c r="AE221" t="s">
        <v>343</v>
      </c>
      <c r="AG221" s="14" t="s">
        <v>361</v>
      </c>
      <c r="AH221" s="14" t="s">
        <v>258</v>
      </c>
    </row>
    <row r="222" spans="30:34" x14ac:dyDescent="0.3">
      <c r="AD222" t="s">
        <v>511</v>
      </c>
      <c r="AE222" t="s">
        <v>512</v>
      </c>
      <c r="AG222" s="14" t="s">
        <v>560</v>
      </c>
      <c r="AH222" s="14" t="s">
        <v>258</v>
      </c>
    </row>
    <row r="223" spans="30:34" x14ac:dyDescent="0.3">
      <c r="AD223" t="s">
        <v>513</v>
      </c>
      <c r="AE223" t="s">
        <v>258</v>
      </c>
      <c r="AG223" s="14" t="s">
        <v>427</v>
      </c>
      <c r="AH223" s="14" t="s">
        <v>258</v>
      </c>
    </row>
    <row r="224" spans="30:34" x14ac:dyDescent="0.3">
      <c r="AD224" t="s">
        <v>514</v>
      </c>
      <c r="AE224" t="s">
        <v>258</v>
      </c>
      <c r="AG224" s="14" t="s">
        <v>982</v>
      </c>
      <c r="AH224" s="14" t="s">
        <v>258</v>
      </c>
    </row>
    <row r="225" spans="30:34" x14ac:dyDescent="0.3">
      <c r="AD225" t="s">
        <v>515</v>
      </c>
      <c r="AE225" t="s">
        <v>516</v>
      </c>
      <c r="AG225" s="14" t="s">
        <v>988</v>
      </c>
      <c r="AH225" s="14" t="s">
        <v>258</v>
      </c>
    </row>
    <row r="226" spans="30:34" x14ac:dyDescent="0.3">
      <c r="AD226" t="s">
        <v>517</v>
      </c>
      <c r="AE226" t="s">
        <v>343</v>
      </c>
      <c r="AG226" s="14" t="s">
        <v>964</v>
      </c>
      <c r="AH226" s="14" t="s">
        <v>258</v>
      </c>
    </row>
    <row r="227" spans="30:34" x14ac:dyDescent="0.3">
      <c r="AD227" t="s">
        <v>518</v>
      </c>
      <c r="AE227" t="s">
        <v>519</v>
      </c>
      <c r="AG227" s="14" t="s">
        <v>983</v>
      </c>
      <c r="AH227" s="14" t="s">
        <v>258</v>
      </c>
    </row>
    <row r="228" spans="30:34" x14ac:dyDescent="0.3">
      <c r="AD228" t="s">
        <v>520</v>
      </c>
      <c r="AE228" t="s">
        <v>258</v>
      </c>
      <c r="AG228" s="14" t="s">
        <v>629</v>
      </c>
      <c r="AH228" s="14" t="s">
        <v>258</v>
      </c>
    </row>
    <row r="229" spans="30:34" x14ac:dyDescent="0.3">
      <c r="AD229" t="s">
        <v>521</v>
      </c>
      <c r="AE229" t="s">
        <v>522</v>
      </c>
      <c r="AG229" s="14" t="s">
        <v>397</v>
      </c>
      <c r="AH229" s="14" t="s">
        <v>258</v>
      </c>
    </row>
    <row r="230" spans="30:34" x14ac:dyDescent="0.3">
      <c r="AD230" t="s">
        <v>523</v>
      </c>
      <c r="AE230" t="s">
        <v>415</v>
      </c>
      <c r="AG230" s="14" t="s">
        <v>845</v>
      </c>
      <c r="AH230" s="14" t="s">
        <v>258</v>
      </c>
    </row>
    <row r="231" spans="30:34" x14ac:dyDescent="0.3">
      <c r="AD231" t="s">
        <v>524</v>
      </c>
      <c r="AE231" t="s">
        <v>258</v>
      </c>
      <c r="AG231" s="14" t="s">
        <v>958</v>
      </c>
      <c r="AH231" s="14" t="s">
        <v>258</v>
      </c>
    </row>
    <row r="232" spans="30:34" x14ac:dyDescent="0.3">
      <c r="AD232" t="s">
        <v>525</v>
      </c>
      <c r="AE232" t="s">
        <v>343</v>
      </c>
      <c r="AG232" s="14" t="s">
        <v>970</v>
      </c>
      <c r="AH232" s="14" t="s">
        <v>258</v>
      </c>
    </row>
    <row r="233" spans="30:34" x14ac:dyDescent="0.3">
      <c r="AD233" t="s">
        <v>526</v>
      </c>
      <c r="AE233" t="s">
        <v>243</v>
      </c>
      <c r="AG233" s="14" t="s">
        <v>748</v>
      </c>
      <c r="AH233" s="14" t="s">
        <v>258</v>
      </c>
    </row>
    <row r="234" spans="30:34" x14ac:dyDescent="0.3">
      <c r="AD234" t="s">
        <v>527</v>
      </c>
      <c r="AE234" t="s">
        <v>258</v>
      </c>
      <c r="AG234" s="14" t="s">
        <v>900</v>
      </c>
      <c r="AH234" s="14" t="s">
        <v>258</v>
      </c>
    </row>
    <row r="235" spans="30:34" x14ac:dyDescent="0.3">
      <c r="AD235" t="s">
        <v>528</v>
      </c>
      <c r="AE235" t="s">
        <v>386</v>
      </c>
      <c r="AG235" s="14" t="s">
        <v>723</v>
      </c>
      <c r="AH235" s="14" t="s">
        <v>258</v>
      </c>
    </row>
    <row r="236" spans="30:34" x14ac:dyDescent="0.3">
      <c r="AD236" t="s">
        <v>529</v>
      </c>
      <c r="AE236" t="s">
        <v>530</v>
      </c>
      <c r="AG236" s="14" t="s">
        <v>1005</v>
      </c>
      <c r="AH236" s="14" t="s">
        <v>258</v>
      </c>
    </row>
    <row r="237" spans="30:34" x14ac:dyDescent="0.3">
      <c r="AD237" t="s">
        <v>531</v>
      </c>
      <c r="AE237" t="s">
        <v>516</v>
      </c>
      <c r="AG237" s="14" t="s">
        <v>355</v>
      </c>
      <c r="AH237" s="14" t="s">
        <v>258</v>
      </c>
    </row>
    <row r="238" spans="30:34" x14ac:dyDescent="0.3">
      <c r="AD238" t="s">
        <v>532</v>
      </c>
      <c r="AE238" t="s">
        <v>258</v>
      </c>
      <c r="AG238" s="14" t="s">
        <v>976</v>
      </c>
      <c r="AH238" s="14" t="s">
        <v>258</v>
      </c>
    </row>
    <row r="239" spans="30:34" x14ac:dyDescent="0.3">
      <c r="AD239" t="s">
        <v>533</v>
      </c>
      <c r="AE239" t="s">
        <v>516</v>
      </c>
      <c r="AG239" s="14" t="s">
        <v>885</v>
      </c>
      <c r="AH239" s="14" t="s">
        <v>258</v>
      </c>
    </row>
    <row r="240" spans="30:34" x14ac:dyDescent="0.3">
      <c r="AD240" t="s">
        <v>534</v>
      </c>
      <c r="AE240" t="s">
        <v>535</v>
      </c>
      <c r="AG240" s="14" t="s">
        <v>685</v>
      </c>
      <c r="AH240" s="14" t="s">
        <v>258</v>
      </c>
    </row>
    <row r="241" spans="30:34" x14ac:dyDescent="0.3">
      <c r="AD241" t="s">
        <v>536</v>
      </c>
      <c r="AE241" t="s">
        <v>258</v>
      </c>
      <c r="AG241" s="14" t="s">
        <v>1006</v>
      </c>
      <c r="AH241" s="14" t="s">
        <v>258</v>
      </c>
    </row>
    <row r="242" spans="30:34" x14ac:dyDescent="0.3">
      <c r="AD242" t="s">
        <v>537</v>
      </c>
      <c r="AE242" t="s">
        <v>243</v>
      </c>
      <c r="AG242" s="14" t="s">
        <v>814</v>
      </c>
      <c r="AH242" s="14" t="s">
        <v>258</v>
      </c>
    </row>
    <row r="243" spans="30:34" x14ac:dyDescent="0.3">
      <c r="AD243" t="s">
        <v>538</v>
      </c>
      <c r="AE243" t="s">
        <v>243</v>
      </c>
      <c r="AG243" s="14" t="s">
        <v>936</v>
      </c>
      <c r="AH243" s="14" t="s">
        <v>258</v>
      </c>
    </row>
    <row r="244" spans="30:34" x14ac:dyDescent="0.3">
      <c r="AD244" t="s">
        <v>539</v>
      </c>
      <c r="AE244" t="s">
        <v>258</v>
      </c>
      <c r="AG244" s="14" t="s">
        <v>892</v>
      </c>
      <c r="AH244" s="14" t="s">
        <v>258</v>
      </c>
    </row>
    <row r="245" spans="30:34" x14ac:dyDescent="0.3">
      <c r="AD245" t="s">
        <v>540</v>
      </c>
      <c r="AE245" t="s">
        <v>240</v>
      </c>
      <c r="AG245" s="14" t="s">
        <v>990</v>
      </c>
      <c r="AH245" s="14" t="s">
        <v>258</v>
      </c>
    </row>
    <row r="246" spans="30:34" x14ac:dyDescent="0.3">
      <c r="AD246" t="s">
        <v>541</v>
      </c>
      <c r="AE246" t="s">
        <v>365</v>
      </c>
      <c r="AG246" s="14" t="s">
        <v>470</v>
      </c>
      <c r="AH246" s="14" t="s">
        <v>258</v>
      </c>
    </row>
    <row r="247" spans="30:34" x14ac:dyDescent="0.3">
      <c r="AD247" t="s">
        <v>542</v>
      </c>
      <c r="AE247" t="s">
        <v>543</v>
      </c>
      <c r="AG247" s="14" t="s">
        <v>836</v>
      </c>
      <c r="AH247" s="14" t="s">
        <v>258</v>
      </c>
    </row>
    <row r="248" spans="30:34" x14ac:dyDescent="0.3">
      <c r="AD248" t="s">
        <v>544</v>
      </c>
      <c r="AE248" t="s">
        <v>258</v>
      </c>
      <c r="AG248" s="14" t="s">
        <v>493</v>
      </c>
      <c r="AH248" s="14" t="s">
        <v>258</v>
      </c>
    </row>
    <row r="249" spans="30:34" x14ac:dyDescent="0.3">
      <c r="AD249" t="s">
        <v>545</v>
      </c>
      <c r="AE249" t="s">
        <v>343</v>
      </c>
      <c r="AG249" s="14" t="s">
        <v>848</v>
      </c>
      <c r="AH249" s="14" t="s">
        <v>258</v>
      </c>
    </row>
    <row r="250" spans="30:34" x14ac:dyDescent="0.3">
      <c r="AD250" t="s">
        <v>546</v>
      </c>
      <c r="AE250" t="s">
        <v>343</v>
      </c>
      <c r="AG250" s="14" t="s">
        <v>849</v>
      </c>
      <c r="AH250" s="14" t="s">
        <v>258</v>
      </c>
    </row>
    <row r="251" spans="30:34" x14ac:dyDescent="0.3">
      <c r="AD251" t="s">
        <v>547</v>
      </c>
      <c r="AE251" t="s">
        <v>548</v>
      </c>
      <c r="AG251" s="14" t="s">
        <v>888</v>
      </c>
      <c r="AH251" s="14" t="s">
        <v>258</v>
      </c>
    </row>
    <row r="252" spans="30:34" x14ac:dyDescent="0.3">
      <c r="AD252" t="s">
        <v>549</v>
      </c>
      <c r="AE252" t="s">
        <v>343</v>
      </c>
      <c r="AG252" s="14" t="s">
        <v>896</v>
      </c>
      <c r="AH252" s="14" t="s">
        <v>258</v>
      </c>
    </row>
    <row r="253" spans="30:34" x14ac:dyDescent="0.3">
      <c r="AD253" t="s">
        <v>550</v>
      </c>
      <c r="AE253" t="s">
        <v>551</v>
      </c>
      <c r="AG253" s="14" t="s">
        <v>596</v>
      </c>
      <c r="AH253" s="14" t="s">
        <v>258</v>
      </c>
    </row>
    <row r="254" spans="30:34" x14ac:dyDescent="0.3">
      <c r="AD254" t="s">
        <v>552</v>
      </c>
      <c r="AE254" t="s">
        <v>258</v>
      </c>
      <c r="AG254" s="14" t="s">
        <v>870</v>
      </c>
      <c r="AH254" s="14" t="s">
        <v>258</v>
      </c>
    </row>
    <row r="255" spans="30:34" x14ac:dyDescent="0.3">
      <c r="AD255" t="s">
        <v>553</v>
      </c>
      <c r="AE255" t="s">
        <v>516</v>
      </c>
      <c r="AG255" s="14" t="s">
        <v>884</v>
      </c>
      <c r="AH255" s="14" t="s">
        <v>258</v>
      </c>
    </row>
    <row r="256" spans="30:34" x14ac:dyDescent="0.3">
      <c r="AD256" t="s">
        <v>554</v>
      </c>
      <c r="AE256" t="s">
        <v>516</v>
      </c>
      <c r="AG256" s="14" t="s">
        <v>651</v>
      </c>
      <c r="AH256" s="14" t="s">
        <v>258</v>
      </c>
    </row>
    <row r="257" spans="30:34" x14ac:dyDescent="0.3">
      <c r="AD257" t="s">
        <v>555</v>
      </c>
      <c r="AE257" t="s">
        <v>258</v>
      </c>
      <c r="AG257" s="14" t="s">
        <v>555</v>
      </c>
      <c r="AH257" s="14" t="s">
        <v>258</v>
      </c>
    </row>
    <row r="258" spans="30:34" x14ac:dyDescent="0.3">
      <c r="AD258" t="s">
        <v>556</v>
      </c>
      <c r="AE258" t="s">
        <v>258</v>
      </c>
      <c r="AG258" s="14" t="s">
        <v>721</v>
      </c>
      <c r="AH258" s="14" t="s">
        <v>258</v>
      </c>
    </row>
    <row r="259" spans="30:34" x14ac:dyDescent="0.3">
      <c r="AD259" t="s">
        <v>557</v>
      </c>
      <c r="AE259" t="s">
        <v>284</v>
      </c>
      <c r="AG259" s="14" t="s">
        <v>465</v>
      </c>
      <c r="AH259" s="14" t="s">
        <v>258</v>
      </c>
    </row>
    <row r="260" spans="30:34" x14ac:dyDescent="0.3">
      <c r="AD260" t="s">
        <v>558</v>
      </c>
      <c r="AE260" t="s">
        <v>559</v>
      </c>
      <c r="AG260" s="14" t="s">
        <v>571</v>
      </c>
      <c r="AH260" s="14" t="s">
        <v>258</v>
      </c>
    </row>
    <row r="261" spans="30:34" x14ac:dyDescent="0.3">
      <c r="AD261" t="s">
        <v>560</v>
      </c>
      <c r="AE261" t="s">
        <v>258</v>
      </c>
      <c r="AG261" s="14" t="s">
        <v>938</v>
      </c>
      <c r="AH261" s="14" t="s">
        <v>258</v>
      </c>
    </row>
    <row r="262" spans="30:34" x14ac:dyDescent="0.3">
      <c r="AD262" t="s">
        <v>561</v>
      </c>
      <c r="AE262" t="s">
        <v>243</v>
      </c>
      <c r="AG262" s="14" t="s">
        <v>863</v>
      </c>
      <c r="AH262" s="14" t="s">
        <v>258</v>
      </c>
    </row>
    <row r="263" spans="30:34" x14ac:dyDescent="0.3">
      <c r="AD263" t="s">
        <v>562</v>
      </c>
      <c r="AE263" t="s">
        <v>445</v>
      </c>
      <c r="AG263" s="14" t="s">
        <v>584</v>
      </c>
      <c r="AH263" s="14" t="s">
        <v>258</v>
      </c>
    </row>
    <row r="264" spans="30:34" x14ac:dyDescent="0.3">
      <c r="AD264" t="s">
        <v>563</v>
      </c>
      <c r="AE264" t="s">
        <v>258</v>
      </c>
      <c r="AG264" s="14" t="s">
        <v>861</v>
      </c>
      <c r="AH264" s="14" t="s">
        <v>258</v>
      </c>
    </row>
    <row r="265" spans="30:34" x14ac:dyDescent="0.3">
      <c r="AD265" t="s">
        <v>564</v>
      </c>
      <c r="AE265" t="s">
        <v>565</v>
      </c>
      <c r="AG265" s="14" t="s">
        <v>939</v>
      </c>
      <c r="AH265" s="14" t="s">
        <v>258</v>
      </c>
    </row>
    <row r="266" spans="30:34" x14ac:dyDescent="0.3">
      <c r="AD266" t="s">
        <v>566</v>
      </c>
      <c r="AE266" t="s">
        <v>516</v>
      </c>
      <c r="AG266" s="14" t="s">
        <v>871</v>
      </c>
      <c r="AH266" s="14" t="s">
        <v>258</v>
      </c>
    </row>
    <row r="267" spans="30:34" x14ac:dyDescent="0.3">
      <c r="AD267" t="s">
        <v>567</v>
      </c>
      <c r="AE267" t="s">
        <v>258</v>
      </c>
      <c r="AG267" s="14" t="s">
        <v>831</v>
      </c>
      <c r="AH267" s="14" t="s">
        <v>258</v>
      </c>
    </row>
    <row r="268" spans="30:34" x14ac:dyDescent="0.3">
      <c r="AD268" t="s">
        <v>568</v>
      </c>
      <c r="AE268" t="s">
        <v>569</v>
      </c>
      <c r="AG268" s="14" t="s">
        <v>887</v>
      </c>
      <c r="AH268" s="14" t="s">
        <v>258</v>
      </c>
    </row>
    <row r="269" spans="30:34" x14ac:dyDescent="0.3">
      <c r="AD269" t="s">
        <v>570</v>
      </c>
      <c r="AE269" t="s">
        <v>258</v>
      </c>
      <c r="AG269" s="14" t="s">
        <v>943</v>
      </c>
      <c r="AH269" s="14" t="s">
        <v>258</v>
      </c>
    </row>
    <row r="270" spans="30:34" x14ac:dyDescent="0.3">
      <c r="AD270" t="s">
        <v>571</v>
      </c>
      <c r="AE270" t="s">
        <v>258</v>
      </c>
      <c r="AG270" s="14" t="s">
        <v>1023</v>
      </c>
      <c r="AH270" s="14" t="s">
        <v>258</v>
      </c>
    </row>
    <row r="271" spans="30:34" x14ac:dyDescent="0.3">
      <c r="AD271" t="s">
        <v>572</v>
      </c>
      <c r="AE271" t="s">
        <v>516</v>
      </c>
      <c r="AG271" s="14" t="s">
        <v>1004</v>
      </c>
      <c r="AH271" s="14" t="s">
        <v>258</v>
      </c>
    </row>
    <row r="272" spans="30:34" x14ac:dyDescent="0.3">
      <c r="AD272" t="s">
        <v>573</v>
      </c>
      <c r="AE272" t="s">
        <v>243</v>
      </c>
      <c r="AG272" s="14" t="s">
        <v>973</v>
      </c>
      <c r="AH272" s="14" t="s">
        <v>258</v>
      </c>
    </row>
    <row r="273" spans="30:34" x14ac:dyDescent="0.3">
      <c r="AD273" t="s">
        <v>574</v>
      </c>
      <c r="AE273" t="s">
        <v>240</v>
      </c>
      <c r="AG273" s="14" t="s">
        <v>458</v>
      </c>
      <c r="AH273" s="14" t="s">
        <v>258</v>
      </c>
    </row>
    <row r="274" spans="30:34" x14ac:dyDescent="0.3">
      <c r="AD274" t="s">
        <v>575</v>
      </c>
      <c r="AE274" t="s">
        <v>343</v>
      </c>
      <c r="AG274" s="14" t="s">
        <v>1018</v>
      </c>
      <c r="AH274" s="14" t="s">
        <v>258</v>
      </c>
    </row>
    <row r="275" spans="30:34" x14ac:dyDescent="0.3">
      <c r="AD275" t="s">
        <v>576</v>
      </c>
      <c r="AE275" t="s">
        <v>512</v>
      </c>
      <c r="AG275" s="14" t="s">
        <v>920</v>
      </c>
      <c r="AH275" s="14" t="s">
        <v>258</v>
      </c>
    </row>
    <row r="276" spans="30:34" x14ac:dyDescent="0.3">
      <c r="AD276" t="s">
        <v>577</v>
      </c>
      <c r="AE276" t="s">
        <v>578</v>
      </c>
      <c r="AG276" s="14" t="s">
        <v>360</v>
      </c>
      <c r="AH276" s="14" t="s">
        <v>258</v>
      </c>
    </row>
    <row r="277" spans="30:34" x14ac:dyDescent="0.3">
      <c r="AD277" t="s">
        <v>579</v>
      </c>
      <c r="AE277" t="s">
        <v>258</v>
      </c>
      <c r="AG277" s="14" t="s">
        <v>1026</v>
      </c>
      <c r="AH277" s="14" t="s">
        <v>258</v>
      </c>
    </row>
    <row r="278" spans="30:34" x14ac:dyDescent="0.3">
      <c r="AD278" t="s">
        <v>580</v>
      </c>
      <c r="AE278" t="s">
        <v>516</v>
      </c>
      <c r="AG278" s="14" t="s">
        <v>420</v>
      </c>
      <c r="AH278" s="14" t="s">
        <v>258</v>
      </c>
    </row>
    <row r="279" spans="30:34" x14ac:dyDescent="0.3">
      <c r="AD279" t="s">
        <v>581</v>
      </c>
      <c r="AE279" t="s">
        <v>343</v>
      </c>
      <c r="AG279" s="14" t="s">
        <v>425</v>
      </c>
      <c r="AH279" s="14" t="s">
        <v>258</v>
      </c>
    </row>
    <row r="280" spans="30:34" x14ac:dyDescent="0.3">
      <c r="AD280" t="s">
        <v>582</v>
      </c>
      <c r="AE280" t="s">
        <v>258</v>
      </c>
      <c r="AG280" s="14" t="s">
        <v>632</v>
      </c>
      <c r="AH280" s="14" t="s">
        <v>258</v>
      </c>
    </row>
    <row r="281" spans="30:34" x14ac:dyDescent="0.3">
      <c r="AD281" t="s">
        <v>583</v>
      </c>
      <c r="AE281" t="s">
        <v>343</v>
      </c>
      <c r="AG281" s="14" t="s">
        <v>389</v>
      </c>
      <c r="AH281" s="14" t="s">
        <v>258</v>
      </c>
    </row>
    <row r="282" spans="30:34" x14ac:dyDescent="0.3">
      <c r="AD282" t="s">
        <v>584</v>
      </c>
      <c r="AE282" t="s">
        <v>258</v>
      </c>
      <c r="AG282" s="14" t="s">
        <v>421</v>
      </c>
      <c r="AH282" s="14" t="s">
        <v>258</v>
      </c>
    </row>
    <row r="283" spans="30:34" x14ac:dyDescent="0.3">
      <c r="AD283" t="s">
        <v>585</v>
      </c>
      <c r="AE283" t="s">
        <v>586</v>
      </c>
      <c r="AG283" s="14" t="s">
        <v>998</v>
      </c>
      <c r="AH283" s="14" t="s">
        <v>258</v>
      </c>
    </row>
    <row r="284" spans="30:34" x14ac:dyDescent="0.3">
      <c r="AD284" t="s">
        <v>587</v>
      </c>
      <c r="AE284" t="s">
        <v>588</v>
      </c>
      <c r="AG284" s="14" t="s">
        <v>582</v>
      </c>
      <c r="AH284" s="14" t="s">
        <v>258</v>
      </c>
    </row>
    <row r="285" spans="30:34" x14ac:dyDescent="0.3">
      <c r="AD285" t="s">
        <v>589</v>
      </c>
      <c r="AE285" t="s">
        <v>590</v>
      </c>
      <c r="AG285" s="14" t="s">
        <v>462</v>
      </c>
      <c r="AH285" s="14" t="s">
        <v>258</v>
      </c>
    </row>
    <row r="286" spans="30:34" x14ac:dyDescent="0.3">
      <c r="AD286" t="s">
        <v>591</v>
      </c>
      <c r="AE286" t="s">
        <v>258</v>
      </c>
      <c r="AG286" s="14" t="s">
        <v>431</v>
      </c>
      <c r="AH286" s="14" t="s">
        <v>258</v>
      </c>
    </row>
    <row r="287" spans="30:34" x14ac:dyDescent="0.3">
      <c r="AD287" t="s">
        <v>592</v>
      </c>
      <c r="AE287" t="s">
        <v>516</v>
      </c>
      <c r="AG287" s="14" t="s">
        <v>496</v>
      </c>
      <c r="AH287" s="14" t="s">
        <v>258</v>
      </c>
    </row>
    <row r="288" spans="30:34" x14ac:dyDescent="0.3">
      <c r="AD288" t="s">
        <v>593</v>
      </c>
      <c r="AE288" t="s">
        <v>343</v>
      </c>
      <c r="AG288" s="14" t="s">
        <v>933</v>
      </c>
      <c r="AH288" s="14" t="s">
        <v>258</v>
      </c>
    </row>
    <row r="289" spans="30:34" x14ac:dyDescent="0.3">
      <c r="AD289" t="s">
        <v>594</v>
      </c>
      <c r="AE289" t="s">
        <v>516</v>
      </c>
      <c r="AG289" s="14" t="s">
        <v>423</v>
      </c>
      <c r="AH289" s="14" t="s">
        <v>258</v>
      </c>
    </row>
    <row r="290" spans="30:34" x14ac:dyDescent="0.3">
      <c r="AD290" t="s">
        <v>595</v>
      </c>
      <c r="AE290" t="s">
        <v>258</v>
      </c>
      <c r="AG290" s="14" t="s">
        <v>640</v>
      </c>
      <c r="AH290" s="14" t="s">
        <v>258</v>
      </c>
    </row>
    <row r="291" spans="30:34" x14ac:dyDescent="0.3">
      <c r="AD291" t="s">
        <v>596</v>
      </c>
      <c r="AE291" t="s">
        <v>258</v>
      </c>
      <c r="AG291" s="14" t="s">
        <v>951</v>
      </c>
      <c r="AH291" s="14" t="s">
        <v>258</v>
      </c>
    </row>
    <row r="292" spans="30:34" x14ac:dyDescent="0.3">
      <c r="AD292" t="s">
        <v>597</v>
      </c>
      <c r="AE292" t="s">
        <v>240</v>
      </c>
      <c r="AG292" s="14" t="s">
        <v>412</v>
      </c>
      <c r="AH292" s="14" t="s">
        <v>258</v>
      </c>
    </row>
    <row r="293" spans="30:34" x14ac:dyDescent="0.3">
      <c r="AD293" t="s">
        <v>598</v>
      </c>
      <c r="AE293" t="s">
        <v>599</v>
      </c>
      <c r="AG293" s="14" t="s">
        <v>419</v>
      </c>
      <c r="AH293" s="14" t="s">
        <v>258</v>
      </c>
    </row>
    <row r="294" spans="30:34" x14ac:dyDescent="0.3">
      <c r="AD294" t="s">
        <v>600</v>
      </c>
      <c r="AE294" t="s">
        <v>512</v>
      </c>
      <c r="AG294" s="14" t="s">
        <v>410</v>
      </c>
      <c r="AH294" s="14" t="s">
        <v>258</v>
      </c>
    </row>
    <row r="295" spans="30:34" x14ac:dyDescent="0.3">
      <c r="AD295" t="s">
        <v>601</v>
      </c>
      <c r="AE295" t="s">
        <v>258</v>
      </c>
      <c r="AG295" s="14" t="s">
        <v>479</v>
      </c>
      <c r="AH295" s="14" t="s">
        <v>258</v>
      </c>
    </row>
    <row r="296" spans="30:34" x14ac:dyDescent="0.3">
      <c r="AD296" t="s">
        <v>602</v>
      </c>
      <c r="AE296" t="s">
        <v>407</v>
      </c>
      <c r="AG296" s="14" t="s">
        <v>494</v>
      </c>
      <c r="AH296" s="14" t="s">
        <v>258</v>
      </c>
    </row>
    <row r="297" spans="30:34" x14ac:dyDescent="0.3">
      <c r="AD297" t="s">
        <v>603</v>
      </c>
      <c r="AE297" t="s">
        <v>343</v>
      </c>
      <c r="AG297" s="14" t="s">
        <v>820</v>
      </c>
      <c r="AH297" s="14" t="s">
        <v>258</v>
      </c>
    </row>
    <row r="298" spans="30:34" x14ac:dyDescent="0.3">
      <c r="AD298" t="s">
        <v>604</v>
      </c>
      <c r="AE298" t="s">
        <v>605</v>
      </c>
      <c r="AG298" s="14" t="s">
        <v>282</v>
      </c>
      <c r="AH298" s="14" t="s">
        <v>258</v>
      </c>
    </row>
    <row r="299" spans="30:34" x14ac:dyDescent="0.3">
      <c r="AD299" t="s">
        <v>606</v>
      </c>
      <c r="AE299" t="s">
        <v>258</v>
      </c>
      <c r="AG299" s="14" t="s">
        <v>294</v>
      </c>
      <c r="AH299" s="14" t="s">
        <v>258</v>
      </c>
    </row>
    <row r="300" spans="30:34" x14ac:dyDescent="0.3">
      <c r="AD300" t="s">
        <v>607</v>
      </c>
      <c r="AE300" t="s">
        <v>258</v>
      </c>
      <c r="AG300" s="14" t="s">
        <v>429</v>
      </c>
      <c r="AH300" s="14" t="s">
        <v>258</v>
      </c>
    </row>
    <row r="301" spans="30:34" x14ac:dyDescent="0.3">
      <c r="AD301" t="s">
        <v>608</v>
      </c>
      <c r="AE301" t="s">
        <v>363</v>
      </c>
      <c r="AG301" s="14" t="s">
        <v>286</v>
      </c>
      <c r="AH301" s="14" t="s">
        <v>258</v>
      </c>
    </row>
    <row r="302" spans="30:34" x14ac:dyDescent="0.3">
      <c r="AD302" t="s">
        <v>609</v>
      </c>
      <c r="AE302" t="s">
        <v>516</v>
      </c>
      <c r="AG302" s="14" t="s">
        <v>380</v>
      </c>
      <c r="AH302" s="14" t="s">
        <v>258</v>
      </c>
    </row>
    <row r="303" spans="30:34" x14ac:dyDescent="0.3">
      <c r="AD303" t="s">
        <v>610</v>
      </c>
      <c r="AE303" t="s">
        <v>611</v>
      </c>
      <c r="AG303" s="14" t="s">
        <v>336</v>
      </c>
      <c r="AH303" s="14" t="s">
        <v>258</v>
      </c>
    </row>
    <row r="304" spans="30:34" x14ac:dyDescent="0.3">
      <c r="AD304" t="s">
        <v>612</v>
      </c>
      <c r="AE304" t="s">
        <v>512</v>
      </c>
      <c r="AG304" s="14" t="s">
        <v>310</v>
      </c>
      <c r="AH304" s="14" t="s">
        <v>258</v>
      </c>
    </row>
    <row r="305" spans="30:34" x14ac:dyDescent="0.3">
      <c r="AD305" t="s">
        <v>613</v>
      </c>
      <c r="AE305" t="s">
        <v>386</v>
      </c>
      <c r="AG305" s="14" t="s">
        <v>306</v>
      </c>
      <c r="AH305" s="14" t="s">
        <v>258</v>
      </c>
    </row>
    <row r="306" spans="30:34" x14ac:dyDescent="0.3">
      <c r="AD306" t="s">
        <v>614</v>
      </c>
      <c r="AE306" t="s">
        <v>615</v>
      </c>
      <c r="AG306" s="14" t="s">
        <v>287</v>
      </c>
      <c r="AH306" s="14" t="s">
        <v>258</v>
      </c>
    </row>
    <row r="307" spans="30:34" x14ac:dyDescent="0.3">
      <c r="AD307" t="s">
        <v>616</v>
      </c>
      <c r="AE307" t="s">
        <v>343</v>
      </c>
      <c r="AG307" s="14" t="s">
        <v>875</v>
      </c>
      <c r="AH307" s="14" t="s">
        <v>258</v>
      </c>
    </row>
    <row r="308" spans="30:34" x14ac:dyDescent="0.3">
      <c r="AD308" t="s">
        <v>617</v>
      </c>
      <c r="AE308" t="s">
        <v>258</v>
      </c>
      <c r="AG308" s="14" t="s">
        <v>279</v>
      </c>
      <c r="AH308" s="14" t="s">
        <v>258</v>
      </c>
    </row>
    <row r="309" spans="30:34" x14ac:dyDescent="0.3">
      <c r="AD309" t="s">
        <v>618</v>
      </c>
      <c r="AE309" t="s">
        <v>619</v>
      </c>
      <c r="AG309" s="14" t="s">
        <v>536</v>
      </c>
      <c r="AH309" s="14" t="s">
        <v>258</v>
      </c>
    </row>
    <row r="310" spans="30:34" x14ac:dyDescent="0.3">
      <c r="AD310" t="s">
        <v>620</v>
      </c>
      <c r="AE310" t="s">
        <v>258</v>
      </c>
      <c r="AG310" s="14" t="s">
        <v>817</v>
      </c>
      <c r="AH310" s="14" t="s">
        <v>258</v>
      </c>
    </row>
    <row r="311" spans="30:34" x14ac:dyDescent="0.3">
      <c r="AD311" t="s">
        <v>621</v>
      </c>
      <c r="AE311" t="s">
        <v>343</v>
      </c>
      <c r="AG311" s="14" t="s">
        <v>1009</v>
      </c>
      <c r="AH311" s="14" t="s">
        <v>258</v>
      </c>
    </row>
    <row r="312" spans="30:34" x14ac:dyDescent="0.3">
      <c r="AD312" t="s">
        <v>622</v>
      </c>
      <c r="AE312" t="s">
        <v>258</v>
      </c>
      <c r="AG312" s="14" t="s">
        <v>273</v>
      </c>
      <c r="AH312" s="14" t="s">
        <v>258</v>
      </c>
    </row>
    <row r="313" spans="30:34" x14ac:dyDescent="0.3">
      <c r="AD313" t="s">
        <v>623</v>
      </c>
      <c r="AE313" t="s">
        <v>258</v>
      </c>
      <c r="AG313" s="14" t="s">
        <v>579</v>
      </c>
      <c r="AH313" s="14" t="s">
        <v>258</v>
      </c>
    </row>
    <row r="314" spans="30:34" x14ac:dyDescent="0.3">
      <c r="AD314" t="s">
        <v>624</v>
      </c>
      <c r="AE314" t="s">
        <v>516</v>
      </c>
      <c r="AG314" s="14" t="s">
        <v>285</v>
      </c>
      <c r="AH314" s="14" t="s">
        <v>258</v>
      </c>
    </row>
    <row r="315" spans="30:34" x14ac:dyDescent="0.3">
      <c r="AD315" t="s">
        <v>625</v>
      </c>
      <c r="AE315" t="s">
        <v>343</v>
      </c>
      <c r="AG315" s="14" t="s">
        <v>706</v>
      </c>
      <c r="AH315" s="14" t="s">
        <v>258</v>
      </c>
    </row>
    <row r="316" spans="30:34" x14ac:dyDescent="0.3">
      <c r="AD316" t="s">
        <v>626</v>
      </c>
      <c r="AE316" t="s">
        <v>627</v>
      </c>
      <c r="AG316" s="14" t="s">
        <v>595</v>
      </c>
      <c r="AH316" s="14" t="s">
        <v>258</v>
      </c>
    </row>
    <row r="317" spans="30:34" x14ac:dyDescent="0.3">
      <c r="AD317" t="s">
        <v>628</v>
      </c>
      <c r="AE317" t="s">
        <v>516</v>
      </c>
      <c r="AG317" s="14" t="s">
        <v>944</v>
      </c>
      <c r="AH317" s="14" t="s">
        <v>258</v>
      </c>
    </row>
    <row r="318" spans="30:34" x14ac:dyDescent="0.3">
      <c r="AD318" t="s">
        <v>629</v>
      </c>
      <c r="AE318" t="s">
        <v>258</v>
      </c>
      <c r="AG318" s="14" t="s">
        <v>274</v>
      </c>
      <c r="AH318" s="14" t="s">
        <v>258</v>
      </c>
    </row>
    <row r="319" spans="30:34" x14ac:dyDescent="0.3">
      <c r="AD319" t="s">
        <v>630</v>
      </c>
      <c r="AE319" t="s">
        <v>258</v>
      </c>
      <c r="AG319" s="14" t="s">
        <v>899</v>
      </c>
      <c r="AH319" s="14" t="s">
        <v>258</v>
      </c>
    </row>
    <row r="320" spans="30:34" x14ac:dyDescent="0.3">
      <c r="AD320" t="s">
        <v>631</v>
      </c>
      <c r="AE320" t="s">
        <v>516</v>
      </c>
      <c r="AG320" s="14" t="s">
        <v>749</v>
      </c>
      <c r="AH320" s="14" t="s">
        <v>258</v>
      </c>
    </row>
    <row r="321" spans="30:34" x14ac:dyDescent="0.3">
      <c r="AD321" t="s">
        <v>632</v>
      </c>
      <c r="AE321" t="s">
        <v>258</v>
      </c>
      <c r="AG321" s="14" t="s">
        <v>333</v>
      </c>
      <c r="AH321" s="14" t="s">
        <v>258</v>
      </c>
    </row>
    <row r="322" spans="30:34" x14ac:dyDescent="0.3">
      <c r="AD322" t="s">
        <v>633</v>
      </c>
      <c r="AE322" t="s">
        <v>243</v>
      </c>
      <c r="AG322" s="14" t="s">
        <v>293</v>
      </c>
      <c r="AH322" s="14" t="s">
        <v>258</v>
      </c>
    </row>
    <row r="323" spans="30:34" x14ac:dyDescent="0.3">
      <c r="AD323" t="s">
        <v>634</v>
      </c>
      <c r="AE323" t="s">
        <v>352</v>
      </c>
      <c r="AG323" s="14" t="s">
        <v>731</v>
      </c>
      <c r="AH323" s="14" t="s">
        <v>258</v>
      </c>
    </row>
    <row r="324" spans="30:34" x14ac:dyDescent="0.3">
      <c r="AD324" t="s">
        <v>635</v>
      </c>
      <c r="AE324" t="s">
        <v>636</v>
      </c>
      <c r="AG324" s="14" t="s">
        <v>544</v>
      </c>
      <c r="AH324" s="14" t="s">
        <v>258</v>
      </c>
    </row>
    <row r="325" spans="30:34" x14ac:dyDescent="0.3">
      <c r="AD325" t="s">
        <v>637</v>
      </c>
      <c r="AE325" t="s">
        <v>343</v>
      </c>
      <c r="AG325" s="14" t="s">
        <v>257</v>
      </c>
      <c r="AH325" s="14" t="s">
        <v>258</v>
      </c>
    </row>
    <row r="326" spans="30:34" x14ac:dyDescent="0.3">
      <c r="AD326" t="s">
        <v>638</v>
      </c>
      <c r="AE326" t="s">
        <v>492</v>
      </c>
      <c r="AG326" s="14" t="s">
        <v>451</v>
      </c>
      <c r="AH326" s="14" t="s">
        <v>258</v>
      </c>
    </row>
    <row r="327" spans="30:34" x14ac:dyDescent="0.3">
      <c r="AD327" t="s">
        <v>639</v>
      </c>
      <c r="AE327" t="s">
        <v>512</v>
      </c>
      <c r="AG327" s="14" t="s">
        <v>328</v>
      </c>
      <c r="AH327" s="14" t="s">
        <v>258</v>
      </c>
    </row>
    <row r="328" spans="30:34" x14ac:dyDescent="0.3">
      <c r="AD328" t="s">
        <v>640</v>
      </c>
      <c r="AE328" t="s">
        <v>258</v>
      </c>
      <c r="AG328" s="14" t="s">
        <v>318</v>
      </c>
      <c r="AH328" s="14" t="s">
        <v>258</v>
      </c>
    </row>
    <row r="329" spans="30:34" x14ac:dyDescent="0.3">
      <c r="AD329" t="s">
        <v>641</v>
      </c>
      <c r="AE329" t="s">
        <v>258</v>
      </c>
      <c r="AG329" s="14" t="s">
        <v>869</v>
      </c>
      <c r="AH329" s="14" t="s">
        <v>258</v>
      </c>
    </row>
    <row r="330" spans="30:34" x14ac:dyDescent="0.3">
      <c r="AD330" t="s">
        <v>642</v>
      </c>
      <c r="AE330" t="s">
        <v>343</v>
      </c>
      <c r="AG330" s="14" t="s">
        <v>396</v>
      </c>
      <c r="AH330" s="14" t="s">
        <v>258</v>
      </c>
    </row>
    <row r="331" spans="30:34" x14ac:dyDescent="0.3">
      <c r="AD331" t="s">
        <v>643</v>
      </c>
      <c r="AE331" t="s">
        <v>352</v>
      </c>
      <c r="AG331" s="14" t="s">
        <v>474</v>
      </c>
      <c r="AH331" s="14" t="s">
        <v>448</v>
      </c>
    </row>
    <row r="332" spans="30:34" x14ac:dyDescent="0.3">
      <c r="AD332" t="s">
        <v>644</v>
      </c>
      <c r="AE332" t="s">
        <v>330</v>
      </c>
      <c r="AG332" s="14" t="s">
        <v>447</v>
      </c>
      <c r="AH332" s="14" t="s">
        <v>448</v>
      </c>
    </row>
    <row r="333" spans="30:34" x14ac:dyDescent="0.3">
      <c r="AD333" t="s">
        <v>645</v>
      </c>
      <c r="AE333" t="s">
        <v>343</v>
      </c>
      <c r="AG333" s="14" t="s">
        <v>604</v>
      </c>
      <c r="AH333" s="14" t="s">
        <v>605</v>
      </c>
    </row>
    <row r="334" spans="30:34" x14ac:dyDescent="0.3">
      <c r="AD334" t="s">
        <v>646</v>
      </c>
      <c r="AE334" t="s">
        <v>343</v>
      </c>
      <c r="AG334" s="14" t="s">
        <v>668</v>
      </c>
      <c r="AH334" s="14" t="s">
        <v>669</v>
      </c>
    </row>
    <row r="335" spans="30:34" x14ac:dyDescent="0.3">
      <c r="AD335" t="s">
        <v>647</v>
      </c>
      <c r="AE335" t="s">
        <v>258</v>
      </c>
      <c r="AG335" s="14" t="s">
        <v>469</v>
      </c>
      <c r="AH335" s="14" t="s">
        <v>258</v>
      </c>
    </row>
    <row r="336" spans="30:34" x14ac:dyDescent="0.3">
      <c r="AD336" t="s">
        <v>648</v>
      </c>
      <c r="AE336" t="s">
        <v>312</v>
      </c>
      <c r="AG336" s="14" t="s">
        <v>908</v>
      </c>
      <c r="AH336" s="14" t="s">
        <v>258</v>
      </c>
    </row>
    <row r="337" spans="30:34" x14ac:dyDescent="0.3">
      <c r="AD337" t="s">
        <v>649</v>
      </c>
      <c r="AE337" t="s">
        <v>650</v>
      </c>
      <c r="AG337" s="14" t="s">
        <v>695</v>
      </c>
      <c r="AH337" s="14" t="s">
        <v>258</v>
      </c>
    </row>
    <row r="338" spans="30:34" x14ac:dyDescent="0.3">
      <c r="AD338" t="s">
        <v>651</v>
      </c>
      <c r="AE338" t="s">
        <v>258</v>
      </c>
      <c r="AG338" s="14" t="s">
        <v>520</v>
      </c>
      <c r="AH338" s="14" t="s">
        <v>258</v>
      </c>
    </row>
    <row r="339" spans="30:34" x14ac:dyDescent="0.3">
      <c r="AD339" t="s">
        <v>652</v>
      </c>
      <c r="AE339" t="s">
        <v>343</v>
      </c>
      <c r="AG339" s="14" t="s">
        <v>539</v>
      </c>
      <c r="AH339" s="14" t="s">
        <v>258</v>
      </c>
    </row>
    <row r="340" spans="30:34" x14ac:dyDescent="0.3">
      <c r="AD340" t="s">
        <v>653</v>
      </c>
      <c r="AE340" t="s">
        <v>243</v>
      </c>
      <c r="AG340" s="14" t="s">
        <v>744</v>
      </c>
      <c r="AH340" s="14" t="s">
        <v>258</v>
      </c>
    </row>
    <row r="341" spans="30:34" x14ac:dyDescent="0.3">
      <c r="AD341" t="s">
        <v>654</v>
      </c>
      <c r="AE341" t="s">
        <v>655</v>
      </c>
      <c r="AG341" s="14" t="s">
        <v>570</v>
      </c>
      <c r="AH341" s="14" t="s">
        <v>258</v>
      </c>
    </row>
    <row r="342" spans="30:34" x14ac:dyDescent="0.3">
      <c r="AD342" t="s">
        <v>656</v>
      </c>
      <c r="AE342" t="s">
        <v>657</v>
      </c>
      <c r="AG342" s="14" t="s">
        <v>971</v>
      </c>
      <c r="AH342" s="14" t="s">
        <v>258</v>
      </c>
    </row>
    <row r="343" spans="30:34" x14ac:dyDescent="0.3">
      <c r="AD343" t="s">
        <v>658</v>
      </c>
      <c r="AE343" t="s">
        <v>343</v>
      </c>
      <c r="AG343" s="14" t="s">
        <v>750</v>
      </c>
      <c r="AH343" s="14" t="s">
        <v>258</v>
      </c>
    </row>
    <row r="344" spans="30:34" x14ac:dyDescent="0.3">
      <c r="AD344" t="s">
        <v>659</v>
      </c>
      <c r="AE344" t="s">
        <v>258</v>
      </c>
      <c r="AG344" s="14" t="s">
        <v>830</v>
      </c>
      <c r="AH344" s="14" t="s">
        <v>258</v>
      </c>
    </row>
    <row r="345" spans="30:34" x14ac:dyDescent="0.3">
      <c r="AD345" t="s">
        <v>660</v>
      </c>
      <c r="AE345" t="s">
        <v>661</v>
      </c>
      <c r="AG345" s="14" t="s">
        <v>764</v>
      </c>
      <c r="AH345" s="14" t="s">
        <v>258</v>
      </c>
    </row>
    <row r="346" spans="30:34" x14ac:dyDescent="0.3">
      <c r="AD346" t="s">
        <v>662</v>
      </c>
      <c r="AE346" t="s">
        <v>590</v>
      </c>
      <c r="AG346" s="14" t="s">
        <v>705</v>
      </c>
      <c r="AH346" s="14" t="s">
        <v>258</v>
      </c>
    </row>
    <row r="347" spans="30:34" x14ac:dyDescent="0.3">
      <c r="AD347" t="s">
        <v>663</v>
      </c>
      <c r="AE347" t="s">
        <v>258</v>
      </c>
      <c r="AG347" s="14" t="s">
        <v>442</v>
      </c>
      <c r="AH347" s="14" t="s">
        <v>258</v>
      </c>
    </row>
    <row r="348" spans="30:34" x14ac:dyDescent="0.3">
      <c r="AD348" t="s">
        <v>664</v>
      </c>
      <c r="AE348" t="s">
        <v>516</v>
      </c>
      <c r="AG348" s="14" t="s">
        <v>403</v>
      </c>
      <c r="AH348" s="14" t="s">
        <v>258</v>
      </c>
    </row>
    <row r="349" spans="30:34" x14ac:dyDescent="0.3">
      <c r="AD349" t="s">
        <v>665</v>
      </c>
      <c r="AE349" t="s">
        <v>468</v>
      </c>
      <c r="AG349" s="14" t="s">
        <v>974</v>
      </c>
      <c r="AH349" s="14" t="s">
        <v>258</v>
      </c>
    </row>
    <row r="350" spans="30:34" x14ac:dyDescent="0.3">
      <c r="AD350" t="s">
        <v>666</v>
      </c>
      <c r="AE350" t="s">
        <v>667</v>
      </c>
      <c r="AG350" s="14" t="s">
        <v>384</v>
      </c>
      <c r="AH350" s="14" t="s">
        <v>258</v>
      </c>
    </row>
    <row r="351" spans="30:34" x14ac:dyDescent="0.3">
      <c r="AD351" t="s">
        <v>668</v>
      </c>
      <c r="AE351" t="s">
        <v>669</v>
      </c>
      <c r="AG351" s="14" t="s">
        <v>671</v>
      </c>
      <c r="AH351" s="14" t="s">
        <v>258</v>
      </c>
    </row>
    <row r="352" spans="30:34" x14ac:dyDescent="0.3">
      <c r="AD352" t="s">
        <v>670</v>
      </c>
      <c r="AE352" t="s">
        <v>343</v>
      </c>
      <c r="AG352" s="14" t="s">
        <v>663</v>
      </c>
      <c r="AH352" s="14" t="s">
        <v>258</v>
      </c>
    </row>
    <row r="353" spans="30:34" x14ac:dyDescent="0.3">
      <c r="AD353" t="s">
        <v>671</v>
      </c>
      <c r="AE353" t="s">
        <v>258</v>
      </c>
      <c r="AG353" s="14" t="s">
        <v>450</v>
      </c>
      <c r="AH353" s="14" t="s">
        <v>258</v>
      </c>
    </row>
    <row r="354" spans="30:34" x14ac:dyDescent="0.3">
      <c r="AD354" t="s">
        <v>672</v>
      </c>
      <c r="AE354" t="s">
        <v>394</v>
      </c>
      <c r="AG354" s="14" t="s">
        <v>480</v>
      </c>
      <c r="AH354" s="14" t="s">
        <v>258</v>
      </c>
    </row>
    <row r="355" spans="30:34" x14ac:dyDescent="0.3">
      <c r="AD355" t="s">
        <v>673</v>
      </c>
      <c r="AE355" t="s">
        <v>516</v>
      </c>
      <c r="AG355" s="14" t="s">
        <v>513</v>
      </c>
      <c r="AH355" s="14" t="s">
        <v>258</v>
      </c>
    </row>
    <row r="356" spans="30:34" x14ac:dyDescent="0.3">
      <c r="AD356" t="s">
        <v>674</v>
      </c>
      <c r="AE356" t="s">
        <v>343</v>
      </c>
      <c r="AG356" s="14" t="s">
        <v>902</v>
      </c>
      <c r="AH356" s="14" t="s">
        <v>258</v>
      </c>
    </row>
    <row r="357" spans="30:34" x14ac:dyDescent="0.3">
      <c r="AD357" t="s">
        <v>675</v>
      </c>
      <c r="AE357" t="s">
        <v>352</v>
      </c>
      <c r="AG357" s="14" t="s">
        <v>978</v>
      </c>
      <c r="AH357" s="14" t="s">
        <v>258</v>
      </c>
    </row>
    <row r="358" spans="30:34" x14ac:dyDescent="0.3">
      <c r="AD358" t="s">
        <v>676</v>
      </c>
      <c r="AE358" t="s">
        <v>677</v>
      </c>
      <c r="AG358" s="14" t="s">
        <v>763</v>
      </c>
      <c r="AH358" s="14" t="s">
        <v>258</v>
      </c>
    </row>
    <row r="359" spans="30:34" x14ac:dyDescent="0.3">
      <c r="AD359" t="s">
        <v>678</v>
      </c>
      <c r="AE359" t="s">
        <v>258</v>
      </c>
      <c r="AG359" s="14" t="s">
        <v>803</v>
      </c>
      <c r="AH359" s="14" t="s">
        <v>258</v>
      </c>
    </row>
    <row r="360" spans="30:34" x14ac:dyDescent="0.3">
      <c r="AD360" t="s">
        <v>679</v>
      </c>
      <c r="AE360" t="s">
        <v>680</v>
      </c>
      <c r="AG360" s="14" t="s">
        <v>463</v>
      </c>
      <c r="AH360" s="14" t="s">
        <v>258</v>
      </c>
    </row>
    <row r="361" spans="30:34" x14ac:dyDescent="0.3">
      <c r="AD361" t="s">
        <v>681</v>
      </c>
      <c r="AE361" t="s">
        <v>682</v>
      </c>
      <c r="AG361" s="14" t="s">
        <v>816</v>
      </c>
      <c r="AH361" s="14" t="s">
        <v>258</v>
      </c>
    </row>
    <row r="362" spans="30:34" x14ac:dyDescent="0.3">
      <c r="AD362" t="s">
        <v>683</v>
      </c>
      <c r="AE362" t="s">
        <v>394</v>
      </c>
      <c r="AG362" s="14" t="s">
        <v>818</v>
      </c>
      <c r="AH362" s="14" t="s">
        <v>258</v>
      </c>
    </row>
    <row r="363" spans="30:34" x14ac:dyDescent="0.3">
      <c r="AD363" t="s">
        <v>684</v>
      </c>
      <c r="AE363" t="s">
        <v>240</v>
      </c>
      <c r="AG363" s="14" t="s">
        <v>826</v>
      </c>
      <c r="AH363" s="14" t="s">
        <v>258</v>
      </c>
    </row>
    <row r="364" spans="30:34" x14ac:dyDescent="0.3">
      <c r="AD364" t="s">
        <v>685</v>
      </c>
      <c r="AE364" t="s">
        <v>258</v>
      </c>
      <c r="AG364" s="14" t="s">
        <v>552</v>
      </c>
      <c r="AH364" s="14" t="s">
        <v>258</v>
      </c>
    </row>
    <row r="365" spans="30:34" x14ac:dyDescent="0.3">
      <c r="AD365" t="s">
        <v>686</v>
      </c>
      <c r="AE365" t="s">
        <v>687</v>
      </c>
      <c r="AG365" s="14" t="s">
        <v>620</v>
      </c>
      <c r="AH365" s="14" t="s">
        <v>258</v>
      </c>
    </row>
    <row r="366" spans="30:34" x14ac:dyDescent="0.3">
      <c r="AD366" t="s">
        <v>688</v>
      </c>
      <c r="AE366" t="s">
        <v>352</v>
      </c>
      <c r="AG366" s="14" t="s">
        <v>514</v>
      </c>
      <c r="AH366" s="14" t="s">
        <v>258</v>
      </c>
    </row>
    <row r="367" spans="30:34" x14ac:dyDescent="0.3">
      <c r="AD367" t="s">
        <v>689</v>
      </c>
      <c r="AE367" t="s">
        <v>415</v>
      </c>
      <c r="AG367" s="14" t="s">
        <v>473</v>
      </c>
      <c r="AH367" s="14" t="s">
        <v>258</v>
      </c>
    </row>
    <row r="368" spans="30:34" x14ac:dyDescent="0.3">
      <c r="AD368" t="s">
        <v>690</v>
      </c>
      <c r="AE368" t="s">
        <v>284</v>
      </c>
      <c r="AG368" s="14" t="s">
        <v>800</v>
      </c>
      <c r="AH368" s="14" t="s">
        <v>258</v>
      </c>
    </row>
    <row r="369" spans="30:34" x14ac:dyDescent="0.3">
      <c r="AD369" t="s">
        <v>691</v>
      </c>
      <c r="AE369" t="s">
        <v>516</v>
      </c>
      <c r="AG369" s="14" t="s">
        <v>807</v>
      </c>
      <c r="AH369" s="14" t="s">
        <v>258</v>
      </c>
    </row>
    <row r="370" spans="30:34" x14ac:dyDescent="0.3">
      <c r="AD370" t="s">
        <v>692</v>
      </c>
      <c r="AE370" t="s">
        <v>693</v>
      </c>
      <c r="AG370" s="14" t="s">
        <v>486</v>
      </c>
      <c r="AH370" s="14" t="s">
        <v>258</v>
      </c>
    </row>
    <row r="371" spans="30:34" x14ac:dyDescent="0.3">
      <c r="AD371" t="s">
        <v>694</v>
      </c>
      <c r="AE371" t="s">
        <v>407</v>
      </c>
      <c r="AG371" s="14" t="s">
        <v>927</v>
      </c>
      <c r="AH371" s="14" t="s">
        <v>258</v>
      </c>
    </row>
    <row r="372" spans="30:34" x14ac:dyDescent="0.3">
      <c r="AD372" t="s">
        <v>695</v>
      </c>
      <c r="AE372" t="s">
        <v>258</v>
      </c>
      <c r="AG372" s="14" t="s">
        <v>601</v>
      </c>
      <c r="AH372" s="14" t="s">
        <v>258</v>
      </c>
    </row>
    <row r="373" spans="30:34" x14ac:dyDescent="0.3">
      <c r="AD373" t="s">
        <v>696</v>
      </c>
      <c r="AE373" t="s">
        <v>697</v>
      </c>
      <c r="AG373" s="14" t="s">
        <v>954</v>
      </c>
      <c r="AH373" s="14" t="s">
        <v>258</v>
      </c>
    </row>
    <row r="374" spans="30:34" x14ac:dyDescent="0.3">
      <c r="AD374" t="s">
        <v>698</v>
      </c>
      <c r="AE374" t="s">
        <v>343</v>
      </c>
      <c r="AG374" s="14" t="s">
        <v>789</v>
      </c>
      <c r="AH374" s="14" t="s">
        <v>258</v>
      </c>
    </row>
    <row r="375" spans="30:34" x14ac:dyDescent="0.3">
      <c r="AD375" t="s">
        <v>699</v>
      </c>
      <c r="AE375" t="s">
        <v>343</v>
      </c>
      <c r="AG375" s="14" t="s">
        <v>617</v>
      </c>
      <c r="AH375" s="14" t="s">
        <v>258</v>
      </c>
    </row>
    <row r="376" spans="30:34" x14ac:dyDescent="0.3">
      <c r="AD376" t="s">
        <v>700</v>
      </c>
      <c r="AE376" t="s">
        <v>697</v>
      </c>
      <c r="AG376" s="14" t="s">
        <v>856</v>
      </c>
      <c r="AH376" s="14" t="s">
        <v>258</v>
      </c>
    </row>
    <row r="377" spans="30:34" x14ac:dyDescent="0.3">
      <c r="AD377" t="s">
        <v>701</v>
      </c>
      <c r="AE377" t="s">
        <v>352</v>
      </c>
      <c r="AG377" s="14" t="s">
        <v>457</v>
      </c>
      <c r="AH377" s="14" t="s">
        <v>258</v>
      </c>
    </row>
    <row r="378" spans="30:34" x14ac:dyDescent="0.3">
      <c r="AD378" t="s">
        <v>702</v>
      </c>
      <c r="AE378" t="s">
        <v>703</v>
      </c>
      <c r="AG378" s="14" t="s">
        <v>622</v>
      </c>
      <c r="AH378" s="14" t="s">
        <v>258</v>
      </c>
    </row>
    <row r="379" spans="30:34" x14ac:dyDescent="0.3">
      <c r="AD379" t="s">
        <v>704</v>
      </c>
      <c r="AE379" t="s">
        <v>627</v>
      </c>
      <c r="AG379" s="14" t="s">
        <v>472</v>
      </c>
      <c r="AH379" s="14" t="s">
        <v>258</v>
      </c>
    </row>
    <row r="380" spans="30:34" x14ac:dyDescent="0.3">
      <c r="AD380" t="s">
        <v>705</v>
      </c>
      <c r="AE380" t="s">
        <v>258</v>
      </c>
      <c r="AG380" s="14" t="s">
        <v>532</v>
      </c>
      <c r="AH380" s="14" t="s">
        <v>258</v>
      </c>
    </row>
    <row r="381" spans="30:34" x14ac:dyDescent="0.3">
      <c r="AD381" t="s">
        <v>706</v>
      </c>
      <c r="AE381" t="s">
        <v>258</v>
      </c>
      <c r="AG381" s="14" t="s">
        <v>563</v>
      </c>
      <c r="AH381" s="14" t="s">
        <v>258</v>
      </c>
    </row>
    <row r="382" spans="30:34" x14ac:dyDescent="0.3">
      <c r="AD382" t="s">
        <v>707</v>
      </c>
      <c r="AE382" t="s">
        <v>352</v>
      </c>
      <c r="AG382" s="14" t="s">
        <v>591</v>
      </c>
      <c r="AH382" s="14" t="s">
        <v>258</v>
      </c>
    </row>
    <row r="383" spans="30:34" x14ac:dyDescent="0.3">
      <c r="AD383" t="s">
        <v>708</v>
      </c>
      <c r="AE383" t="s">
        <v>284</v>
      </c>
      <c r="AG383" s="14" t="s">
        <v>917</v>
      </c>
      <c r="AH383" s="14" t="s">
        <v>258</v>
      </c>
    </row>
    <row r="384" spans="30:34" x14ac:dyDescent="0.3">
      <c r="AD384" t="s">
        <v>709</v>
      </c>
      <c r="AE384" t="s">
        <v>516</v>
      </c>
      <c r="AG384" s="14" t="s">
        <v>829</v>
      </c>
      <c r="AH384" s="14" t="s">
        <v>258</v>
      </c>
    </row>
    <row r="385" spans="30:34" x14ac:dyDescent="0.3">
      <c r="AD385" t="s">
        <v>710</v>
      </c>
      <c r="AE385" t="s">
        <v>263</v>
      </c>
      <c r="AG385" s="14" t="s">
        <v>886</v>
      </c>
      <c r="AH385" s="14" t="s">
        <v>258</v>
      </c>
    </row>
    <row r="386" spans="30:34" x14ac:dyDescent="0.3">
      <c r="AD386" t="s">
        <v>711</v>
      </c>
      <c r="AE386" t="s">
        <v>489</v>
      </c>
      <c r="AG386" s="14" t="s">
        <v>630</v>
      </c>
      <c r="AH386" s="14" t="s">
        <v>258</v>
      </c>
    </row>
    <row r="387" spans="30:34" x14ac:dyDescent="0.3">
      <c r="AD387" t="s">
        <v>712</v>
      </c>
      <c r="AE387" t="s">
        <v>516</v>
      </c>
      <c r="AG387" s="14" t="s">
        <v>827</v>
      </c>
      <c r="AH387" s="14" t="s">
        <v>258</v>
      </c>
    </row>
    <row r="388" spans="30:34" x14ac:dyDescent="0.3">
      <c r="AD388" t="s">
        <v>713</v>
      </c>
      <c r="AE388" t="s">
        <v>249</v>
      </c>
      <c r="AG388" s="14" t="s">
        <v>641</v>
      </c>
      <c r="AH388" s="14" t="s">
        <v>258</v>
      </c>
    </row>
    <row r="389" spans="30:34" x14ac:dyDescent="0.3">
      <c r="AD389" t="s">
        <v>714</v>
      </c>
      <c r="AE389" t="s">
        <v>715</v>
      </c>
      <c r="AG389" s="14" t="s">
        <v>813</v>
      </c>
      <c r="AH389" s="14" t="s">
        <v>258</v>
      </c>
    </row>
    <row r="390" spans="30:34" x14ac:dyDescent="0.3">
      <c r="AD390" t="s">
        <v>716</v>
      </c>
      <c r="AE390" t="s">
        <v>717</v>
      </c>
      <c r="AG390" s="14" t="s">
        <v>446</v>
      </c>
      <c r="AH390" s="14" t="s">
        <v>258</v>
      </c>
    </row>
    <row r="391" spans="30:34" x14ac:dyDescent="0.3">
      <c r="AD391" t="s">
        <v>718</v>
      </c>
      <c r="AE391" t="s">
        <v>519</v>
      </c>
      <c r="AG391" s="14" t="s">
        <v>623</v>
      </c>
      <c r="AH391" s="14" t="s">
        <v>258</v>
      </c>
    </row>
    <row r="392" spans="30:34" x14ac:dyDescent="0.3">
      <c r="AD392" t="s">
        <v>719</v>
      </c>
      <c r="AE392" t="s">
        <v>720</v>
      </c>
      <c r="AG392" s="14" t="s">
        <v>455</v>
      </c>
      <c r="AH392" s="14" t="s">
        <v>258</v>
      </c>
    </row>
    <row r="393" spans="30:34" x14ac:dyDescent="0.3">
      <c r="AD393" t="s">
        <v>721</v>
      </c>
      <c r="AE393" t="s">
        <v>258</v>
      </c>
      <c r="AG393" s="14" t="s">
        <v>556</v>
      </c>
      <c r="AH393" s="14" t="s">
        <v>258</v>
      </c>
    </row>
    <row r="394" spans="30:34" x14ac:dyDescent="0.3">
      <c r="AD394" t="s">
        <v>722</v>
      </c>
      <c r="AE394" t="s">
        <v>343</v>
      </c>
      <c r="AG394" s="14" t="s">
        <v>527</v>
      </c>
      <c r="AH394" s="14" t="s">
        <v>258</v>
      </c>
    </row>
    <row r="395" spans="30:34" x14ac:dyDescent="0.3">
      <c r="AD395" t="s">
        <v>723</v>
      </c>
      <c r="AE395" t="s">
        <v>258</v>
      </c>
      <c r="AG395" s="14" t="s">
        <v>809</v>
      </c>
      <c r="AH395" s="14" t="s">
        <v>258</v>
      </c>
    </row>
    <row r="396" spans="30:34" x14ac:dyDescent="0.3">
      <c r="AD396" t="s">
        <v>724</v>
      </c>
      <c r="AE396" t="s">
        <v>343</v>
      </c>
      <c r="AG396" s="14" t="s">
        <v>606</v>
      </c>
      <c r="AH396" s="14" t="s">
        <v>258</v>
      </c>
    </row>
    <row r="397" spans="30:34" x14ac:dyDescent="0.3">
      <c r="AD397" t="s">
        <v>725</v>
      </c>
      <c r="AE397" t="s">
        <v>655</v>
      </c>
      <c r="AG397" s="14" t="s">
        <v>812</v>
      </c>
      <c r="AH397" s="14" t="s">
        <v>258</v>
      </c>
    </row>
    <row r="398" spans="30:34" x14ac:dyDescent="0.3">
      <c r="AD398" t="s">
        <v>726</v>
      </c>
      <c r="AE398" t="s">
        <v>290</v>
      </c>
      <c r="AG398" s="14" t="s">
        <v>567</v>
      </c>
      <c r="AH398" s="14" t="s">
        <v>258</v>
      </c>
    </row>
    <row r="399" spans="30:34" x14ac:dyDescent="0.3">
      <c r="AD399" t="s">
        <v>727</v>
      </c>
      <c r="AE399" t="s">
        <v>263</v>
      </c>
      <c r="AG399" s="14" t="s">
        <v>916</v>
      </c>
      <c r="AH399" s="14" t="s">
        <v>258</v>
      </c>
    </row>
    <row r="400" spans="30:34" x14ac:dyDescent="0.3">
      <c r="AD400" t="s">
        <v>728</v>
      </c>
      <c r="AE400" t="s">
        <v>407</v>
      </c>
      <c r="AG400" s="14" t="s">
        <v>466</v>
      </c>
      <c r="AH400" s="14" t="s">
        <v>258</v>
      </c>
    </row>
    <row r="401" spans="30:34" x14ac:dyDescent="0.3">
      <c r="AD401" t="s">
        <v>729</v>
      </c>
      <c r="AE401" t="s">
        <v>489</v>
      </c>
      <c r="AG401" s="14" t="s">
        <v>942</v>
      </c>
      <c r="AH401" s="14" t="s">
        <v>258</v>
      </c>
    </row>
    <row r="402" spans="30:34" x14ac:dyDescent="0.3">
      <c r="AD402" t="s">
        <v>730</v>
      </c>
      <c r="AE402" t="s">
        <v>516</v>
      </c>
      <c r="AG402" s="14" t="s">
        <v>755</v>
      </c>
      <c r="AH402" s="14" t="s">
        <v>258</v>
      </c>
    </row>
    <row r="403" spans="30:34" x14ac:dyDescent="0.3">
      <c r="AD403" t="s">
        <v>731</v>
      </c>
      <c r="AE403" t="s">
        <v>258</v>
      </c>
      <c r="AG403" s="14" t="s">
        <v>607</v>
      </c>
      <c r="AH403" s="14" t="s">
        <v>258</v>
      </c>
    </row>
    <row r="404" spans="30:34" x14ac:dyDescent="0.3">
      <c r="AD404" t="s">
        <v>732</v>
      </c>
      <c r="AE404" t="s">
        <v>733</v>
      </c>
      <c r="AG404" s="14" t="s">
        <v>841</v>
      </c>
      <c r="AH404" s="14" t="s">
        <v>258</v>
      </c>
    </row>
    <row r="405" spans="30:34" x14ac:dyDescent="0.3">
      <c r="AD405" t="s">
        <v>734</v>
      </c>
      <c r="AE405" t="s">
        <v>599</v>
      </c>
      <c r="AG405" s="14" t="s">
        <v>897</v>
      </c>
      <c r="AH405" s="14" t="s">
        <v>258</v>
      </c>
    </row>
    <row r="406" spans="30:34" x14ac:dyDescent="0.3">
      <c r="AD406" t="s">
        <v>735</v>
      </c>
      <c r="AE406" t="s">
        <v>516</v>
      </c>
      <c r="AG406" s="14" t="s">
        <v>487</v>
      </c>
      <c r="AH406" s="14" t="s">
        <v>258</v>
      </c>
    </row>
    <row r="407" spans="30:34" x14ac:dyDescent="0.3">
      <c r="AD407" t="s">
        <v>736</v>
      </c>
      <c r="AE407" t="s">
        <v>611</v>
      </c>
      <c r="AG407" s="14" t="s">
        <v>945</v>
      </c>
      <c r="AH407" s="14" t="s">
        <v>258</v>
      </c>
    </row>
    <row r="408" spans="30:34" x14ac:dyDescent="0.3">
      <c r="AD408" t="s">
        <v>737</v>
      </c>
      <c r="AE408" t="s">
        <v>343</v>
      </c>
      <c r="AG408" s="14" t="s">
        <v>659</v>
      </c>
      <c r="AH408" s="14" t="s">
        <v>258</v>
      </c>
    </row>
    <row r="409" spans="30:34" x14ac:dyDescent="0.3">
      <c r="AD409" t="s">
        <v>738</v>
      </c>
      <c r="AE409" t="s">
        <v>739</v>
      </c>
      <c r="AG409" s="14" t="s">
        <v>991</v>
      </c>
      <c r="AH409" s="14" t="s">
        <v>258</v>
      </c>
    </row>
    <row r="410" spans="30:34" x14ac:dyDescent="0.3">
      <c r="AD410" t="s">
        <v>740</v>
      </c>
      <c r="AE410" t="s">
        <v>343</v>
      </c>
      <c r="AG410" s="14" t="s">
        <v>862</v>
      </c>
      <c r="AH410" s="14" t="s">
        <v>258</v>
      </c>
    </row>
    <row r="411" spans="30:34" x14ac:dyDescent="0.3">
      <c r="AD411" t="s">
        <v>741</v>
      </c>
      <c r="AE411" t="s">
        <v>742</v>
      </c>
      <c r="AG411" s="14" t="s">
        <v>678</v>
      </c>
      <c r="AH411" s="14" t="s">
        <v>258</v>
      </c>
    </row>
    <row r="412" spans="30:34" x14ac:dyDescent="0.3">
      <c r="AD412" t="s">
        <v>743</v>
      </c>
      <c r="AE412" t="s">
        <v>343</v>
      </c>
      <c r="AG412" s="14" t="s">
        <v>910</v>
      </c>
      <c r="AH412" s="14" t="s">
        <v>258</v>
      </c>
    </row>
    <row r="413" spans="30:34" x14ac:dyDescent="0.3">
      <c r="AD413" t="s">
        <v>744</v>
      </c>
      <c r="AE413" t="s">
        <v>258</v>
      </c>
      <c r="AG413" s="14" t="s">
        <v>922</v>
      </c>
      <c r="AH413" s="14" t="s">
        <v>258</v>
      </c>
    </row>
    <row r="414" spans="30:34" x14ac:dyDescent="0.3">
      <c r="AD414" t="s">
        <v>745</v>
      </c>
      <c r="AE414" t="s">
        <v>693</v>
      </c>
      <c r="AG414" s="14" t="s">
        <v>947</v>
      </c>
      <c r="AH414" s="14" t="s">
        <v>258</v>
      </c>
    </row>
    <row r="415" spans="30:34" x14ac:dyDescent="0.3">
      <c r="AD415" t="s">
        <v>746</v>
      </c>
      <c r="AE415" t="s">
        <v>516</v>
      </c>
      <c r="AG415" s="14" t="s">
        <v>777</v>
      </c>
      <c r="AH415" s="14" t="s">
        <v>258</v>
      </c>
    </row>
    <row r="416" spans="30:34" x14ac:dyDescent="0.3">
      <c r="AD416" t="s">
        <v>747</v>
      </c>
      <c r="AE416" t="s">
        <v>516</v>
      </c>
      <c r="AG416" s="14" t="s">
        <v>952</v>
      </c>
      <c r="AH416" s="14" t="s">
        <v>258</v>
      </c>
    </row>
    <row r="417" spans="30:34" x14ac:dyDescent="0.3">
      <c r="AD417" t="s">
        <v>748</v>
      </c>
      <c r="AE417" t="s">
        <v>258</v>
      </c>
      <c r="AG417" s="14" t="s">
        <v>804</v>
      </c>
      <c r="AH417" s="14" t="s">
        <v>805</v>
      </c>
    </row>
    <row r="418" spans="30:34" x14ac:dyDescent="0.3">
      <c r="AD418" t="s">
        <v>749</v>
      </c>
      <c r="AE418" t="s">
        <v>258</v>
      </c>
      <c r="AG418" s="14" t="s">
        <v>568</v>
      </c>
      <c r="AH418" s="14" t="s">
        <v>569</v>
      </c>
    </row>
    <row r="419" spans="30:34" x14ac:dyDescent="0.3">
      <c r="AD419" t="s">
        <v>750</v>
      </c>
      <c r="AE419" t="s">
        <v>258</v>
      </c>
      <c r="AG419" s="14" t="s">
        <v>618</v>
      </c>
      <c r="AH419" s="14" t="s">
        <v>619</v>
      </c>
    </row>
    <row r="420" spans="30:34" x14ac:dyDescent="0.3">
      <c r="AD420" t="s">
        <v>751</v>
      </c>
      <c r="AE420" t="s">
        <v>343</v>
      </c>
      <c r="AG420" s="14" t="s">
        <v>271</v>
      </c>
      <c r="AH420" s="14" t="s">
        <v>272</v>
      </c>
    </row>
    <row r="421" spans="30:34" x14ac:dyDescent="0.3">
      <c r="AD421" t="s">
        <v>752</v>
      </c>
      <c r="AE421" t="s">
        <v>753</v>
      </c>
      <c r="AG421" s="14" t="s">
        <v>454</v>
      </c>
      <c r="AH421" s="14" t="s">
        <v>272</v>
      </c>
    </row>
    <row r="422" spans="30:34" x14ac:dyDescent="0.3">
      <c r="AD422" t="s">
        <v>754</v>
      </c>
      <c r="AE422" t="s">
        <v>343</v>
      </c>
      <c r="AG422" s="14" t="s">
        <v>694</v>
      </c>
      <c r="AH422" s="14" t="s">
        <v>407</v>
      </c>
    </row>
    <row r="423" spans="30:34" x14ac:dyDescent="0.3">
      <c r="AD423" t="s">
        <v>755</v>
      </c>
      <c r="AE423" t="s">
        <v>258</v>
      </c>
      <c r="AG423" s="14" t="s">
        <v>1027</v>
      </c>
      <c r="AH423" s="14" t="s">
        <v>407</v>
      </c>
    </row>
    <row r="424" spans="30:34" x14ac:dyDescent="0.3">
      <c r="AD424" t="s">
        <v>756</v>
      </c>
      <c r="AE424" t="s">
        <v>757</v>
      </c>
      <c r="AG424" s="14" t="s">
        <v>935</v>
      </c>
      <c r="AH424" s="14" t="s">
        <v>407</v>
      </c>
    </row>
    <row r="425" spans="30:34" x14ac:dyDescent="0.3">
      <c r="AD425" t="s">
        <v>758</v>
      </c>
      <c r="AE425" t="s">
        <v>759</v>
      </c>
      <c r="AG425" s="14" t="s">
        <v>406</v>
      </c>
      <c r="AH425" s="14" t="s">
        <v>407</v>
      </c>
    </row>
    <row r="426" spans="30:34" x14ac:dyDescent="0.3">
      <c r="AD426" t="s">
        <v>760</v>
      </c>
      <c r="AE426" t="s">
        <v>761</v>
      </c>
      <c r="AG426" s="14" t="s">
        <v>728</v>
      </c>
      <c r="AH426" s="14" t="s">
        <v>407</v>
      </c>
    </row>
    <row r="427" spans="30:34" x14ac:dyDescent="0.3">
      <c r="AD427" t="s">
        <v>762</v>
      </c>
      <c r="AE427" t="s">
        <v>489</v>
      </c>
      <c r="AG427" s="14" t="s">
        <v>602</v>
      </c>
      <c r="AH427" s="14" t="s">
        <v>407</v>
      </c>
    </row>
    <row r="428" spans="30:34" x14ac:dyDescent="0.3">
      <c r="AD428" t="s">
        <v>763</v>
      </c>
      <c r="AE428" t="s">
        <v>258</v>
      </c>
      <c r="AG428" s="14" t="s">
        <v>408</v>
      </c>
      <c r="AH428" s="14" t="s">
        <v>409</v>
      </c>
    </row>
    <row r="429" spans="30:34" x14ac:dyDescent="0.3">
      <c r="AD429" t="s">
        <v>764</v>
      </c>
      <c r="AE429" t="s">
        <v>258</v>
      </c>
      <c r="AG429" s="14" t="s">
        <v>738</v>
      </c>
      <c r="AH429" s="14" t="s">
        <v>739</v>
      </c>
    </row>
    <row r="430" spans="30:34" x14ac:dyDescent="0.3">
      <c r="AD430" t="s">
        <v>765</v>
      </c>
      <c r="AE430" t="s">
        <v>243</v>
      </c>
      <c r="AG430" s="14" t="s">
        <v>696</v>
      </c>
      <c r="AH430" s="14" t="s">
        <v>697</v>
      </c>
    </row>
    <row r="431" spans="30:34" x14ac:dyDescent="0.3">
      <c r="AD431" t="s">
        <v>766</v>
      </c>
      <c r="AE431" t="s">
        <v>258</v>
      </c>
      <c r="AG431" s="14" t="s">
        <v>700</v>
      </c>
      <c r="AH431" s="14" t="s">
        <v>697</v>
      </c>
    </row>
    <row r="432" spans="30:34" x14ac:dyDescent="0.3">
      <c r="AD432" t="s">
        <v>767</v>
      </c>
      <c r="AE432" t="s">
        <v>516</v>
      </c>
      <c r="AG432" s="14" t="s">
        <v>873</v>
      </c>
      <c r="AH432" s="14" t="s">
        <v>874</v>
      </c>
    </row>
    <row r="433" spans="30:34" x14ac:dyDescent="0.3">
      <c r="AD433" t="s">
        <v>768</v>
      </c>
      <c r="AE433" t="s">
        <v>240</v>
      </c>
      <c r="AG433" s="14" t="s">
        <v>732</v>
      </c>
      <c r="AH433" s="14" t="s">
        <v>733</v>
      </c>
    </row>
    <row r="434" spans="30:34" x14ac:dyDescent="0.3">
      <c r="AD434" t="s">
        <v>769</v>
      </c>
      <c r="AE434" t="s">
        <v>258</v>
      </c>
      <c r="AG434" s="14" t="s">
        <v>521</v>
      </c>
      <c r="AH434" s="14" t="s">
        <v>522</v>
      </c>
    </row>
    <row r="435" spans="30:34" x14ac:dyDescent="0.3">
      <c r="AD435" t="s">
        <v>770</v>
      </c>
      <c r="AE435" t="s">
        <v>771</v>
      </c>
      <c r="AG435" s="14" t="s">
        <v>741</v>
      </c>
      <c r="AH435" s="14" t="s">
        <v>742</v>
      </c>
    </row>
    <row r="436" spans="30:34" x14ac:dyDescent="0.3">
      <c r="AD436" t="s">
        <v>772</v>
      </c>
      <c r="AE436" t="s">
        <v>343</v>
      </c>
      <c r="AG436" s="14" t="s">
        <v>714</v>
      </c>
      <c r="AH436" s="14" t="s">
        <v>715</v>
      </c>
    </row>
    <row r="437" spans="30:34" x14ac:dyDescent="0.3">
      <c r="AD437" t="s">
        <v>773</v>
      </c>
      <c r="AE437" t="s">
        <v>516</v>
      </c>
      <c r="AG437" s="14" t="s">
        <v>550</v>
      </c>
      <c r="AH437" s="14" t="s">
        <v>551</v>
      </c>
    </row>
    <row r="438" spans="30:34" x14ac:dyDescent="0.3">
      <c r="AD438" t="s">
        <v>774</v>
      </c>
      <c r="AE438" t="s">
        <v>243</v>
      </c>
      <c r="AG438" s="14" t="s">
        <v>834</v>
      </c>
      <c r="AH438" s="14" t="s">
        <v>835</v>
      </c>
    </row>
    <row r="439" spans="30:34" x14ac:dyDescent="0.3">
      <c r="AD439" t="s">
        <v>775</v>
      </c>
      <c r="AE439" t="s">
        <v>343</v>
      </c>
      <c r="AG439" s="14" t="s">
        <v>1024</v>
      </c>
      <c r="AH439" s="14" t="s">
        <v>835</v>
      </c>
    </row>
    <row r="440" spans="30:34" x14ac:dyDescent="0.3">
      <c r="AD440" t="s">
        <v>776</v>
      </c>
      <c r="AE440" t="s">
        <v>519</v>
      </c>
      <c r="AG440" s="14" t="s">
        <v>277</v>
      </c>
      <c r="AH440" s="14" t="s">
        <v>278</v>
      </c>
    </row>
    <row r="441" spans="30:34" x14ac:dyDescent="0.3">
      <c r="AD441" t="s">
        <v>777</v>
      </c>
      <c r="AE441" t="s">
        <v>258</v>
      </c>
      <c r="AG441" s="14" t="s">
        <v>315</v>
      </c>
      <c r="AH441" s="14" t="s">
        <v>278</v>
      </c>
    </row>
    <row r="442" spans="30:34" x14ac:dyDescent="0.3">
      <c r="AD442" t="s">
        <v>778</v>
      </c>
      <c r="AE442" t="s">
        <v>779</v>
      </c>
      <c r="AG442" s="14" t="s">
        <v>377</v>
      </c>
      <c r="AH442" s="14" t="s">
        <v>278</v>
      </c>
    </row>
    <row r="443" spans="30:34" x14ac:dyDescent="0.3">
      <c r="AD443" t="s">
        <v>780</v>
      </c>
      <c r="AE443" t="s">
        <v>263</v>
      </c>
      <c r="AG443" s="14" t="s">
        <v>347</v>
      </c>
      <c r="AH443" s="14" t="s">
        <v>243</v>
      </c>
    </row>
    <row r="444" spans="30:34" x14ac:dyDescent="0.3">
      <c r="AD444" t="s">
        <v>781</v>
      </c>
      <c r="AE444" t="s">
        <v>343</v>
      </c>
      <c r="AG444" s="14" t="s">
        <v>418</v>
      </c>
      <c r="AH444" s="14" t="s">
        <v>243</v>
      </c>
    </row>
    <row r="445" spans="30:34" x14ac:dyDescent="0.3">
      <c r="AD445" t="s">
        <v>782</v>
      </c>
      <c r="AE445" t="s">
        <v>343</v>
      </c>
      <c r="AG445" s="14" t="s">
        <v>252</v>
      </c>
      <c r="AH445" s="14" t="s">
        <v>243</v>
      </c>
    </row>
    <row r="446" spans="30:34" x14ac:dyDescent="0.3">
      <c r="AD446" t="s">
        <v>783</v>
      </c>
      <c r="AE446" t="s">
        <v>512</v>
      </c>
      <c r="AG446" s="14" t="s">
        <v>359</v>
      </c>
      <c r="AH446" s="14" t="s">
        <v>243</v>
      </c>
    </row>
    <row r="447" spans="30:34" x14ac:dyDescent="0.3">
      <c r="AD447" t="s">
        <v>784</v>
      </c>
      <c r="AE447" t="s">
        <v>243</v>
      </c>
      <c r="AG447" s="14" t="s">
        <v>254</v>
      </c>
      <c r="AH447" s="14" t="s">
        <v>243</v>
      </c>
    </row>
    <row r="448" spans="30:34" x14ac:dyDescent="0.3">
      <c r="AD448" t="s">
        <v>785</v>
      </c>
      <c r="AE448" t="s">
        <v>284</v>
      </c>
      <c r="AG448" s="14" t="s">
        <v>354</v>
      </c>
      <c r="AH448" s="14" t="s">
        <v>243</v>
      </c>
    </row>
    <row r="449" spans="30:34" x14ac:dyDescent="0.3">
      <c r="AD449" t="s">
        <v>786</v>
      </c>
      <c r="AE449" t="s">
        <v>590</v>
      </c>
      <c r="AG449" s="14" t="s">
        <v>573</v>
      </c>
      <c r="AH449" s="14" t="s">
        <v>243</v>
      </c>
    </row>
    <row r="450" spans="30:34" x14ac:dyDescent="0.3">
      <c r="AD450" t="s">
        <v>787</v>
      </c>
      <c r="AE450" t="s">
        <v>240</v>
      </c>
      <c r="AG450" s="14" t="s">
        <v>424</v>
      </c>
      <c r="AH450" s="14" t="s">
        <v>243</v>
      </c>
    </row>
    <row r="451" spans="30:34" x14ac:dyDescent="0.3">
      <c r="AD451" t="s">
        <v>788</v>
      </c>
      <c r="AE451" t="s">
        <v>516</v>
      </c>
      <c r="AG451" s="14" t="s">
        <v>288</v>
      </c>
      <c r="AH451" s="14" t="s">
        <v>243</v>
      </c>
    </row>
    <row r="452" spans="30:34" x14ac:dyDescent="0.3">
      <c r="AD452" t="s">
        <v>789</v>
      </c>
      <c r="AE452" t="s">
        <v>258</v>
      </c>
      <c r="AG452" s="14" t="s">
        <v>340</v>
      </c>
      <c r="AH452" s="14" t="s">
        <v>243</v>
      </c>
    </row>
    <row r="453" spans="30:34" x14ac:dyDescent="0.3">
      <c r="AD453" t="s">
        <v>790</v>
      </c>
      <c r="AE453" t="s">
        <v>687</v>
      </c>
      <c r="AG453" s="14" t="s">
        <v>372</v>
      </c>
      <c r="AH453" s="14" t="s">
        <v>243</v>
      </c>
    </row>
    <row r="454" spans="30:34" x14ac:dyDescent="0.3">
      <c r="AD454" t="s">
        <v>791</v>
      </c>
      <c r="AE454" t="s">
        <v>792</v>
      </c>
      <c r="AG454" s="14" t="s">
        <v>379</v>
      </c>
      <c r="AH454" s="14" t="s">
        <v>243</v>
      </c>
    </row>
    <row r="455" spans="30:34" x14ac:dyDescent="0.3">
      <c r="AD455" t="s">
        <v>793</v>
      </c>
      <c r="AE455" t="s">
        <v>794</v>
      </c>
      <c r="AG455" s="14" t="s">
        <v>314</v>
      </c>
      <c r="AH455" s="14" t="s">
        <v>243</v>
      </c>
    </row>
    <row r="456" spans="30:34" x14ac:dyDescent="0.3">
      <c r="AD456" t="s">
        <v>795</v>
      </c>
      <c r="AE456" t="s">
        <v>240</v>
      </c>
      <c r="AG456" s="14" t="s">
        <v>346</v>
      </c>
      <c r="AH456" s="14" t="s">
        <v>243</v>
      </c>
    </row>
    <row r="457" spans="30:34" x14ac:dyDescent="0.3">
      <c r="AD457" t="s">
        <v>796</v>
      </c>
      <c r="AE457" t="s">
        <v>516</v>
      </c>
      <c r="AG457" s="14" t="s">
        <v>537</v>
      </c>
      <c r="AH457" s="14" t="s">
        <v>243</v>
      </c>
    </row>
    <row r="458" spans="30:34" x14ac:dyDescent="0.3">
      <c r="AD458" t="s">
        <v>797</v>
      </c>
      <c r="AE458" t="s">
        <v>516</v>
      </c>
      <c r="AG458" s="14" t="s">
        <v>398</v>
      </c>
      <c r="AH458" s="14" t="s">
        <v>243</v>
      </c>
    </row>
    <row r="459" spans="30:34" x14ac:dyDescent="0.3">
      <c r="AD459" t="s">
        <v>798</v>
      </c>
      <c r="AE459" t="s">
        <v>516</v>
      </c>
      <c r="AG459" s="14" t="s">
        <v>358</v>
      </c>
      <c r="AH459" s="14" t="s">
        <v>243</v>
      </c>
    </row>
    <row r="460" spans="30:34" x14ac:dyDescent="0.3">
      <c r="AD460" t="s">
        <v>799</v>
      </c>
      <c r="AE460" t="s">
        <v>343</v>
      </c>
      <c r="AG460" s="14" t="s">
        <v>256</v>
      </c>
      <c r="AH460" s="14" t="s">
        <v>243</v>
      </c>
    </row>
    <row r="461" spans="30:34" x14ac:dyDescent="0.3">
      <c r="AD461" t="s">
        <v>800</v>
      </c>
      <c r="AE461" t="s">
        <v>258</v>
      </c>
      <c r="AG461" s="14" t="s">
        <v>449</v>
      </c>
      <c r="AH461" s="14" t="s">
        <v>243</v>
      </c>
    </row>
    <row r="462" spans="30:34" x14ac:dyDescent="0.3">
      <c r="AD462" t="s">
        <v>801</v>
      </c>
      <c r="AE462" t="s">
        <v>802</v>
      </c>
      <c r="AG462" s="14" t="s">
        <v>307</v>
      </c>
      <c r="AH462" s="14" t="s">
        <v>243</v>
      </c>
    </row>
    <row r="463" spans="30:34" x14ac:dyDescent="0.3">
      <c r="AD463" t="s">
        <v>803</v>
      </c>
      <c r="AE463" t="s">
        <v>258</v>
      </c>
      <c r="AG463" s="14" t="s">
        <v>784</v>
      </c>
      <c r="AH463" s="14" t="s">
        <v>243</v>
      </c>
    </row>
    <row r="464" spans="30:34" x14ac:dyDescent="0.3">
      <c r="AD464" t="s">
        <v>804</v>
      </c>
      <c r="AE464" t="s">
        <v>805</v>
      </c>
      <c r="AG464" s="14" t="s">
        <v>475</v>
      </c>
      <c r="AH464" s="14" t="s">
        <v>243</v>
      </c>
    </row>
    <row r="465" spans="30:34" x14ac:dyDescent="0.3">
      <c r="AD465" t="s">
        <v>806</v>
      </c>
      <c r="AE465" t="s">
        <v>343</v>
      </c>
      <c r="AG465" s="14" t="s">
        <v>255</v>
      </c>
      <c r="AH465" s="14" t="s">
        <v>243</v>
      </c>
    </row>
    <row r="466" spans="30:34" x14ac:dyDescent="0.3">
      <c r="AD466" t="s">
        <v>807</v>
      </c>
      <c r="AE466" t="s">
        <v>258</v>
      </c>
      <c r="AG466" s="14" t="s">
        <v>341</v>
      </c>
      <c r="AH466" s="14" t="s">
        <v>243</v>
      </c>
    </row>
    <row r="467" spans="30:34" x14ac:dyDescent="0.3">
      <c r="AD467" t="s">
        <v>808</v>
      </c>
      <c r="AE467" t="s">
        <v>343</v>
      </c>
      <c r="AG467" s="14" t="s">
        <v>296</v>
      </c>
      <c r="AH467" s="14" t="s">
        <v>243</v>
      </c>
    </row>
    <row r="468" spans="30:34" x14ac:dyDescent="0.3">
      <c r="AD468" t="s">
        <v>809</v>
      </c>
      <c r="AE468" t="s">
        <v>258</v>
      </c>
      <c r="AG468" s="14" t="s">
        <v>765</v>
      </c>
      <c r="AH468" s="14" t="s">
        <v>243</v>
      </c>
    </row>
    <row r="469" spans="30:34" x14ac:dyDescent="0.3">
      <c r="AD469" t="s">
        <v>810</v>
      </c>
      <c r="AE469" t="s">
        <v>811</v>
      </c>
      <c r="AG469" s="14" t="s">
        <v>1025</v>
      </c>
      <c r="AH469" s="14" t="s">
        <v>243</v>
      </c>
    </row>
    <row r="470" spans="30:34" x14ac:dyDescent="0.3">
      <c r="AD470" t="s">
        <v>812</v>
      </c>
      <c r="AE470" t="s">
        <v>258</v>
      </c>
      <c r="AG470" s="14" t="s">
        <v>526</v>
      </c>
      <c r="AH470" s="14" t="s">
        <v>243</v>
      </c>
    </row>
    <row r="471" spans="30:34" x14ac:dyDescent="0.3">
      <c r="AD471" t="s">
        <v>813</v>
      </c>
      <c r="AE471" t="s">
        <v>258</v>
      </c>
      <c r="AG471" s="14" t="s">
        <v>242</v>
      </c>
      <c r="AH471" s="14" t="s">
        <v>243</v>
      </c>
    </row>
    <row r="472" spans="30:34" x14ac:dyDescent="0.3">
      <c r="AD472" t="s">
        <v>814</v>
      </c>
      <c r="AE472" t="s">
        <v>258</v>
      </c>
      <c r="AG472" s="14" t="s">
        <v>898</v>
      </c>
      <c r="AH472" s="14" t="s">
        <v>243</v>
      </c>
    </row>
    <row r="473" spans="30:34" x14ac:dyDescent="0.3">
      <c r="AD473" t="s">
        <v>815</v>
      </c>
      <c r="AE473" t="s">
        <v>352</v>
      </c>
      <c r="AG473" s="14" t="s">
        <v>633</v>
      </c>
      <c r="AH473" s="14" t="s">
        <v>243</v>
      </c>
    </row>
    <row r="474" spans="30:34" x14ac:dyDescent="0.3">
      <c r="AD474" t="s">
        <v>816</v>
      </c>
      <c r="AE474" t="s">
        <v>258</v>
      </c>
      <c r="AG474" s="14" t="s">
        <v>561</v>
      </c>
      <c r="AH474" s="14" t="s">
        <v>243</v>
      </c>
    </row>
    <row r="475" spans="30:34" x14ac:dyDescent="0.3">
      <c r="AD475" t="s">
        <v>817</v>
      </c>
      <c r="AE475" t="s">
        <v>258</v>
      </c>
      <c r="AG475" s="14" t="s">
        <v>653</v>
      </c>
      <c r="AH475" s="14" t="s">
        <v>243</v>
      </c>
    </row>
    <row r="476" spans="30:34" x14ac:dyDescent="0.3">
      <c r="AD476" t="s">
        <v>818</v>
      </c>
      <c r="AE476" t="s">
        <v>258</v>
      </c>
      <c r="AG476" s="14" t="s">
        <v>1010</v>
      </c>
      <c r="AH476" s="14" t="s">
        <v>243</v>
      </c>
    </row>
    <row r="477" spans="30:34" x14ac:dyDescent="0.3">
      <c r="AD477" t="s">
        <v>819</v>
      </c>
      <c r="AE477" t="s">
        <v>516</v>
      </c>
      <c r="AG477" s="14" t="s">
        <v>774</v>
      </c>
      <c r="AH477" s="14" t="s">
        <v>243</v>
      </c>
    </row>
    <row r="478" spans="30:34" x14ac:dyDescent="0.3">
      <c r="AD478" t="s">
        <v>820</v>
      </c>
      <c r="AE478" t="s">
        <v>258</v>
      </c>
      <c r="AG478" s="14" t="s">
        <v>538</v>
      </c>
      <c r="AH478" s="14" t="s">
        <v>243</v>
      </c>
    </row>
    <row r="479" spans="30:34" x14ac:dyDescent="0.3">
      <c r="AD479" t="s">
        <v>821</v>
      </c>
      <c r="AE479" t="s">
        <v>516</v>
      </c>
      <c r="AG479" s="14" t="s">
        <v>547</v>
      </c>
      <c r="AH479" s="14" t="s">
        <v>548</v>
      </c>
    </row>
    <row r="480" spans="30:34" x14ac:dyDescent="0.3">
      <c r="AD480" t="s">
        <v>822</v>
      </c>
      <c r="AE480" t="s">
        <v>500</v>
      </c>
      <c r="AG480" s="14" t="s">
        <v>953</v>
      </c>
      <c r="AH480" s="14" t="s">
        <v>548</v>
      </c>
    </row>
    <row r="481" spans="30:34" x14ac:dyDescent="0.3">
      <c r="AD481" t="s">
        <v>823</v>
      </c>
      <c r="AE481" t="s">
        <v>824</v>
      </c>
      <c r="AG481" s="14" t="s">
        <v>1016</v>
      </c>
      <c r="AH481" s="14" t="s">
        <v>548</v>
      </c>
    </row>
    <row r="482" spans="30:34" x14ac:dyDescent="0.3">
      <c r="AD482" t="s">
        <v>825</v>
      </c>
      <c r="AE482" t="s">
        <v>258</v>
      </c>
      <c r="AG482" s="14" t="s">
        <v>745</v>
      </c>
      <c r="AH482" s="14" t="s">
        <v>693</v>
      </c>
    </row>
    <row r="483" spans="30:34" x14ac:dyDescent="0.3">
      <c r="AD483" t="s">
        <v>826</v>
      </c>
      <c r="AE483" t="s">
        <v>258</v>
      </c>
      <c r="AG483" s="14" t="s">
        <v>692</v>
      </c>
      <c r="AH483" s="14" t="s">
        <v>693</v>
      </c>
    </row>
    <row r="484" spans="30:34" x14ac:dyDescent="0.3">
      <c r="AD484" t="s">
        <v>827</v>
      </c>
      <c r="AE484" t="s">
        <v>258</v>
      </c>
      <c r="AG484" s="14" t="s">
        <v>930</v>
      </c>
      <c r="AH484" s="14" t="s">
        <v>931</v>
      </c>
    </row>
    <row r="485" spans="30:34" x14ac:dyDescent="0.3">
      <c r="AD485" t="s">
        <v>828</v>
      </c>
      <c r="AE485" t="s">
        <v>284</v>
      </c>
      <c r="AG485" s="14" t="s">
        <v>778</v>
      </c>
      <c r="AH485" s="14" t="s">
        <v>779</v>
      </c>
    </row>
    <row r="486" spans="30:34" x14ac:dyDescent="0.3">
      <c r="AD486" t="s">
        <v>829</v>
      </c>
      <c r="AE486" t="s">
        <v>258</v>
      </c>
      <c r="AG486" s="14" t="s">
        <v>756</v>
      </c>
      <c r="AH486" s="14" t="s">
        <v>757</v>
      </c>
    </row>
    <row r="487" spans="30:34" x14ac:dyDescent="0.3">
      <c r="AD487" t="s">
        <v>830</v>
      </c>
      <c r="AE487" t="s">
        <v>258</v>
      </c>
      <c r="AG487" s="14" t="s">
        <v>665</v>
      </c>
      <c r="AH487" s="14" t="s">
        <v>468</v>
      </c>
    </row>
    <row r="488" spans="30:34" x14ac:dyDescent="0.3">
      <c r="AD488" t="s">
        <v>831</v>
      </c>
      <c r="AE488" t="s">
        <v>258</v>
      </c>
      <c r="AG488" s="14" t="s">
        <v>467</v>
      </c>
      <c r="AH488" s="14" t="s">
        <v>468</v>
      </c>
    </row>
    <row r="489" spans="30:34" x14ac:dyDescent="0.3">
      <c r="AD489" t="s">
        <v>832</v>
      </c>
      <c r="AE489" t="s">
        <v>516</v>
      </c>
      <c r="AG489" s="14" t="s">
        <v>752</v>
      </c>
      <c r="AH489" s="14" t="s">
        <v>753</v>
      </c>
    </row>
    <row r="490" spans="30:34" x14ac:dyDescent="0.3">
      <c r="AD490" t="s">
        <v>833</v>
      </c>
      <c r="AE490" t="s">
        <v>343</v>
      </c>
      <c r="AG490" s="14" t="s">
        <v>719</v>
      </c>
      <c r="AH490" s="14" t="s">
        <v>720</v>
      </c>
    </row>
    <row r="491" spans="30:34" x14ac:dyDescent="0.3">
      <c r="AD491" t="s">
        <v>834</v>
      </c>
      <c r="AE491" t="s">
        <v>835</v>
      </c>
      <c r="AG491" s="14" t="s">
        <v>483</v>
      </c>
      <c r="AH491" s="14" t="s">
        <v>330</v>
      </c>
    </row>
    <row r="492" spans="30:34" x14ac:dyDescent="0.3">
      <c r="AD492" t="s">
        <v>836</v>
      </c>
      <c r="AE492" t="s">
        <v>258</v>
      </c>
      <c r="AG492" s="14" t="s">
        <v>644</v>
      </c>
      <c r="AH492" s="14" t="s">
        <v>330</v>
      </c>
    </row>
    <row r="493" spans="30:34" x14ac:dyDescent="0.3">
      <c r="AD493" t="s">
        <v>837</v>
      </c>
      <c r="AE493" t="s">
        <v>516</v>
      </c>
      <c r="AG493" s="14" t="s">
        <v>984</v>
      </c>
      <c r="AH493" s="14" t="s">
        <v>330</v>
      </c>
    </row>
    <row r="494" spans="30:34" x14ac:dyDescent="0.3">
      <c r="AD494" t="s">
        <v>838</v>
      </c>
      <c r="AE494" t="s">
        <v>839</v>
      </c>
      <c r="AG494" s="14" t="s">
        <v>357</v>
      </c>
      <c r="AH494" s="14" t="s">
        <v>330</v>
      </c>
    </row>
    <row r="495" spans="30:34" x14ac:dyDescent="0.3">
      <c r="AD495" t="s">
        <v>840</v>
      </c>
      <c r="AE495" t="s">
        <v>343</v>
      </c>
      <c r="AG495" s="14" t="s">
        <v>329</v>
      </c>
      <c r="AH495" s="14" t="s">
        <v>330</v>
      </c>
    </row>
    <row r="496" spans="30:34" x14ac:dyDescent="0.3">
      <c r="AD496" t="s">
        <v>841</v>
      </c>
      <c r="AE496" t="s">
        <v>258</v>
      </c>
      <c r="AG496" s="14" t="s">
        <v>385</v>
      </c>
      <c r="AH496" s="14" t="s">
        <v>386</v>
      </c>
    </row>
    <row r="497" spans="30:34" x14ac:dyDescent="0.3">
      <c r="AD497" t="s">
        <v>842</v>
      </c>
      <c r="AE497" t="s">
        <v>516</v>
      </c>
      <c r="AG497" s="14" t="s">
        <v>426</v>
      </c>
      <c r="AH497" s="14" t="s">
        <v>386</v>
      </c>
    </row>
    <row r="498" spans="30:34" x14ac:dyDescent="0.3">
      <c r="AD498" t="s">
        <v>843</v>
      </c>
      <c r="AE498" t="s">
        <v>343</v>
      </c>
      <c r="AG498" s="14" t="s">
        <v>388</v>
      </c>
      <c r="AH498" s="14" t="s">
        <v>386</v>
      </c>
    </row>
    <row r="499" spans="30:34" x14ac:dyDescent="0.3">
      <c r="AD499" t="s">
        <v>844</v>
      </c>
      <c r="AE499" t="s">
        <v>516</v>
      </c>
      <c r="AG499" s="14" t="s">
        <v>432</v>
      </c>
      <c r="AH499" s="14" t="s">
        <v>386</v>
      </c>
    </row>
    <row r="500" spans="30:34" x14ac:dyDescent="0.3">
      <c r="AD500" t="s">
        <v>845</v>
      </c>
      <c r="AE500" t="s">
        <v>258</v>
      </c>
      <c r="AG500" s="14" t="s">
        <v>613</v>
      </c>
      <c r="AH500" s="14" t="s">
        <v>386</v>
      </c>
    </row>
    <row r="501" spans="30:34" x14ac:dyDescent="0.3">
      <c r="AD501" t="s">
        <v>846</v>
      </c>
      <c r="AE501" t="s">
        <v>516</v>
      </c>
      <c r="AG501" s="14" t="s">
        <v>499</v>
      </c>
      <c r="AH501" s="14" t="s">
        <v>500</v>
      </c>
    </row>
    <row r="502" spans="30:34" x14ac:dyDescent="0.3">
      <c r="AD502" t="s">
        <v>847</v>
      </c>
      <c r="AE502" t="s">
        <v>516</v>
      </c>
      <c r="AG502" s="14" t="s">
        <v>822</v>
      </c>
      <c r="AH502" s="14" t="s">
        <v>500</v>
      </c>
    </row>
    <row r="503" spans="30:34" x14ac:dyDescent="0.3">
      <c r="AD503" t="s">
        <v>848</v>
      </c>
      <c r="AE503" t="s">
        <v>258</v>
      </c>
      <c r="AG503" s="14" t="s">
        <v>660</v>
      </c>
      <c r="AH503" s="14" t="s">
        <v>661</v>
      </c>
    </row>
    <row r="504" spans="30:34" x14ac:dyDescent="0.3">
      <c r="AD504" t="s">
        <v>849</v>
      </c>
      <c r="AE504" t="s">
        <v>258</v>
      </c>
      <c r="AG504" s="14" t="s">
        <v>889</v>
      </c>
      <c r="AH504" s="14" t="s">
        <v>890</v>
      </c>
    </row>
    <row r="505" spans="30:34" x14ac:dyDescent="0.3">
      <c r="AD505" t="s">
        <v>850</v>
      </c>
      <c r="AE505" t="s">
        <v>312</v>
      </c>
      <c r="AG505" s="14" t="s">
        <v>299</v>
      </c>
      <c r="AH505" s="14" t="s">
        <v>292</v>
      </c>
    </row>
    <row r="506" spans="30:34" x14ac:dyDescent="0.3">
      <c r="AD506" t="s">
        <v>851</v>
      </c>
      <c r="AE506" t="s">
        <v>258</v>
      </c>
      <c r="AG506" s="14" t="s">
        <v>291</v>
      </c>
      <c r="AH506" s="14" t="s">
        <v>292</v>
      </c>
    </row>
    <row r="507" spans="30:34" x14ac:dyDescent="0.3">
      <c r="AD507" t="s">
        <v>852</v>
      </c>
      <c r="AE507" t="s">
        <v>611</v>
      </c>
      <c r="AG507" s="14" t="s">
        <v>298</v>
      </c>
      <c r="AH507" s="14" t="s">
        <v>292</v>
      </c>
    </row>
    <row r="508" spans="30:34" x14ac:dyDescent="0.3">
      <c r="AD508" t="s">
        <v>853</v>
      </c>
      <c r="AE508" t="s">
        <v>516</v>
      </c>
      <c r="AG508" s="14" t="s">
        <v>297</v>
      </c>
      <c r="AH508" s="14" t="s">
        <v>292</v>
      </c>
    </row>
    <row r="509" spans="30:34" x14ac:dyDescent="0.3">
      <c r="AD509" t="s">
        <v>854</v>
      </c>
      <c r="AE509" t="s">
        <v>519</v>
      </c>
      <c r="AG509" s="14" t="s">
        <v>534</v>
      </c>
      <c r="AH509" s="14" t="s">
        <v>535</v>
      </c>
    </row>
    <row r="510" spans="30:34" x14ac:dyDescent="0.3">
      <c r="AD510" t="s">
        <v>855</v>
      </c>
      <c r="AE510" t="s">
        <v>516</v>
      </c>
      <c r="AG510" s="14" t="s">
        <v>461</v>
      </c>
      <c r="AH510" s="14" t="s">
        <v>312</v>
      </c>
    </row>
    <row r="511" spans="30:34" x14ac:dyDescent="0.3">
      <c r="AD511" t="s">
        <v>856</v>
      </c>
      <c r="AE511" t="s">
        <v>258</v>
      </c>
      <c r="AG511" s="14" t="s">
        <v>881</v>
      </c>
      <c r="AH511" s="14" t="s">
        <v>312</v>
      </c>
    </row>
    <row r="512" spans="30:34" x14ac:dyDescent="0.3">
      <c r="AD512" t="s">
        <v>857</v>
      </c>
      <c r="AE512" t="s">
        <v>657</v>
      </c>
      <c r="AG512" s="14" t="s">
        <v>1017</v>
      </c>
      <c r="AH512" s="14" t="s">
        <v>312</v>
      </c>
    </row>
    <row r="513" spans="30:34" x14ac:dyDescent="0.3">
      <c r="AD513" t="s">
        <v>858</v>
      </c>
      <c r="AE513" t="s">
        <v>343</v>
      </c>
      <c r="AG513" s="14" t="s">
        <v>313</v>
      </c>
      <c r="AH513" s="14" t="s">
        <v>312</v>
      </c>
    </row>
    <row r="514" spans="30:34" x14ac:dyDescent="0.3">
      <c r="AD514" t="s">
        <v>859</v>
      </c>
      <c r="AE514" t="s">
        <v>860</v>
      </c>
      <c r="AG514" s="14" t="s">
        <v>850</v>
      </c>
      <c r="AH514" s="14" t="s">
        <v>312</v>
      </c>
    </row>
    <row r="515" spans="30:34" x14ac:dyDescent="0.3">
      <c r="AD515" t="s">
        <v>861</v>
      </c>
      <c r="AE515" t="s">
        <v>258</v>
      </c>
      <c r="AG515" s="14" t="s">
        <v>648</v>
      </c>
      <c r="AH515" s="14" t="s">
        <v>312</v>
      </c>
    </row>
    <row r="516" spans="30:34" x14ac:dyDescent="0.3">
      <c r="AD516" t="s">
        <v>862</v>
      </c>
      <c r="AE516" t="s">
        <v>258</v>
      </c>
      <c r="AG516" s="14" t="s">
        <v>317</v>
      </c>
      <c r="AH516" s="14" t="s">
        <v>312</v>
      </c>
    </row>
    <row r="517" spans="30:34" x14ac:dyDescent="0.3">
      <c r="AD517" t="s">
        <v>863</v>
      </c>
      <c r="AE517" t="s">
        <v>258</v>
      </c>
      <c r="AG517" s="14" t="s">
        <v>311</v>
      </c>
      <c r="AH517" s="14" t="s">
        <v>312</v>
      </c>
    </row>
    <row r="518" spans="30:34" x14ac:dyDescent="0.3">
      <c r="AD518" t="s">
        <v>864</v>
      </c>
      <c r="AE518" t="s">
        <v>512</v>
      </c>
      <c r="AG518" s="14" t="s">
        <v>460</v>
      </c>
      <c r="AH518" s="14" t="s">
        <v>312</v>
      </c>
    </row>
    <row r="519" spans="30:34" x14ac:dyDescent="0.3">
      <c r="AD519" t="s">
        <v>865</v>
      </c>
      <c r="AE519" t="s">
        <v>263</v>
      </c>
      <c r="AG519" s="14" t="s">
        <v>1000</v>
      </c>
      <c r="AH519" s="14" t="s">
        <v>1001</v>
      </c>
    </row>
    <row r="520" spans="30:34" x14ac:dyDescent="0.3">
      <c r="AD520" t="s">
        <v>866</v>
      </c>
      <c r="AE520" t="s">
        <v>867</v>
      </c>
      <c r="AG520" s="14" t="s">
        <v>300</v>
      </c>
      <c r="AH520" s="14" t="s">
        <v>301</v>
      </c>
    </row>
    <row r="521" spans="30:34" x14ac:dyDescent="0.3">
      <c r="AD521" t="s">
        <v>868</v>
      </c>
      <c r="AE521" t="s">
        <v>516</v>
      </c>
      <c r="AG521" s="14" t="s">
        <v>928</v>
      </c>
      <c r="AH521" s="14" t="s">
        <v>929</v>
      </c>
    </row>
    <row r="522" spans="30:34" x14ac:dyDescent="0.3">
      <c r="AD522" t="s">
        <v>869</v>
      </c>
      <c r="AE522" t="s">
        <v>258</v>
      </c>
      <c r="AG522" s="14" t="s">
        <v>452</v>
      </c>
      <c r="AH522" s="14" t="s">
        <v>453</v>
      </c>
    </row>
    <row r="523" spans="30:34" x14ac:dyDescent="0.3">
      <c r="AD523" t="s">
        <v>870</v>
      </c>
      <c r="AE523" t="s">
        <v>258</v>
      </c>
      <c r="AG523" s="14" t="s">
        <v>649</v>
      </c>
      <c r="AH523" s="14" t="s">
        <v>650</v>
      </c>
    </row>
    <row r="524" spans="30:34" x14ac:dyDescent="0.3">
      <c r="AD524" t="s">
        <v>871</v>
      </c>
      <c r="AE524" t="s">
        <v>258</v>
      </c>
      <c r="AG524" s="14" t="s">
        <v>635</v>
      </c>
      <c r="AH524" s="14" t="s">
        <v>636</v>
      </c>
    </row>
    <row r="525" spans="30:34" x14ac:dyDescent="0.3">
      <c r="AD525" t="s">
        <v>872</v>
      </c>
      <c r="AE525" t="s">
        <v>445</v>
      </c>
      <c r="AG525" s="14" t="s">
        <v>760</v>
      </c>
      <c r="AH525" s="14" t="s">
        <v>761</v>
      </c>
    </row>
    <row r="526" spans="30:34" x14ac:dyDescent="0.3">
      <c r="AD526" t="s">
        <v>873</v>
      </c>
      <c r="AE526" t="s">
        <v>874</v>
      </c>
      <c r="AG526" s="14" t="s">
        <v>689</v>
      </c>
      <c r="AH526" s="14" t="s">
        <v>415</v>
      </c>
    </row>
    <row r="527" spans="30:34" x14ac:dyDescent="0.3">
      <c r="AD527" t="s">
        <v>875</v>
      </c>
      <c r="AE527" t="s">
        <v>258</v>
      </c>
      <c r="AG527" s="14" t="s">
        <v>883</v>
      </c>
      <c r="AH527" s="14" t="s">
        <v>415</v>
      </c>
    </row>
    <row r="528" spans="30:34" x14ac:dyDescent="0.3">
      <c r="AD528" t="s">
        <v>876</v>
      </c>
      <c r="AE528" t="s">
        <v>343</v>
      </c>
      <c r="AG528" s="14" t="s">
        <v>414</v>
      </c>
      <c r="AH528" s="14" t="s">
        <v>415</v>
      </c>
    </row>
    <row r="529" spans="30:34" x14ac:dyDescent="0.3">
      <c r="AD529" t="s">
        <v>877</v>
      </c>
      <c r="AE529" t="s">
        <v>363</v>
      </c>
      <c r="AG529" s="14" t="s">
        <v>523</v>
      </c>
      <c r="AH529" s="14" t="s">
        <v>415</v>
      </c>
    </row>
    <row r="530" spans="30:34" x14ac:dyDescent="0.3">
      <c r="AD530" t="s">
        <v>878</v>
      </c>
      <c r="AE530" t="s">
        <v>343</v>
      </c>
      <c r="AG530" s="14" t="s">
        <v>968</v>
      </c>
      <c r="AH530" s="14" t="s">
        <v>415</v>
      </c>
    </row>
    <row r="531" spans="30:34" x14ac:dyDescent="0.3">
      <c r="AD531" t="s">
        <v>879</v>
      </c>
      <c r="AE531" t="s">
        <v>880</v>
      </c>
      <c r="AG531" s="14" t="s">
        <v>485</v>
      </c>
      <c r="AH531" s="14" t="s">
        <v>415</v>
      </c>
    </row>
    <row r="532" spans="30:34" x14ac:dyDescent="0.3">
      <c r="AD532" t="s">
        <v>881</v>
      </c>
      <c r="AE532" t="s">
        <v>312</v>
      </c>
      <c r="AG532" s="14" t="s">
        <v>416</v>
      </c>
      <c r="AH532" s="14" t="s">
        <v>417</v>
      </c>
    </row>
    <row r="533" spans="30:34" x14ac:dyDescent="0.3">
      <c r="AD533" t="s">
        <v>882</v>
      </c>
      <c r="AE533" t="s">
        <v>860</v>
      </c>
      <c r="AG533" s="14" t="s">
        <v>558</v>
      </c>
      <c r="AH533" s="14" t="s">
        <v>559</v>
      </c>
    </row>
    <row r="534" spans="30:34" x14ac:dyDescent="0.3">
      <c r="AD534" t="s">
        <v>883</v>
      </c>
      <c r="AE534" t="s">
        <v>415</v>
      </c>
      <c r="AG534" s="14" t="s">
        <v>399</v>
      </c>
      <c r="AH534" s="14" t="s">
        <v>400</v>
      </c>
    </row>
    <row r="535" spans="30:34" x14ac:dyDescent="0.3">
      <c r="AD535" t="s">
        <v>884</v>
      </c>
      <c r="AE535" t="s">
        <v>258</v>
      </c>
      <c r="AG535" s="14" t="s">
        <v>791</v>
      </c>
      <c r="AH535" s="14" t="s">
        <v>792</v>
      </c>
    </row>
    <row r="536" spans="30:34" x14ac:dyDescent="0.3">
      <c r="AD536" t="s">
        <v>885</v>
      </c>
      <c r="AE536" t="s">
        <v>258</v>
      </c>
      <c r="AG536" s="14" t="s">
        <v>269</v>
      </c>
      <c r="AH536" s="14" t="s">
        <v>270</v>
      </c>
    </row>
    <row r="537" spans="30:34" x14ac:dyDescent="0.3">
      <c r="AD537" t="s">
        <v>886</v>
      </c>
      <c r="AE537" t="s">
        <v>258</v>
      </c>
      <c r="AG537" s="14" t="s">
        <v>684</v>
      </c>
      <c r="AH537" s="14" t="s">
        <v>240</v>
      </c>
    </row>
    <row r="538" spans="30:34" x14ac:dyDescent="0.3">
      <c r="AD538" t="s">
        <v>887</v>
      </c>
      <c r="AE538" t="s">
        <v>258</v>
      </c>
      <c r="AG538" s="14" t="s">
        <v>241</v>
      </c>
      <c r="AH538" s="14" t="s">
        <v>240</v>
      </c>
    </row>
    <row r="539" spans="30:34" x14ac:dyDescent="0.3">
      <c r="AD539" t="s">
        <v>888</v>
      </c>
      <c r="AE539" t="s">
        <v>258</v>
      </c>
      <c r="AG539" s="14" t="s">
        <v>413</v>
      </c>
      <c r="AH539" s="14" t="s">
        <v>240</v>
      </c>
    </row>
    <row r="540" spans="30:34" x14ac:dyDescent="0.3">
      <c r="AD540" t="s">
        <v>889</v>
      </c>
      <c r="AE540" t="s">
        <v>890</v>
      </c>
      <c r="AG540" s="14" t="s">
        <v>253</v>
      </c>
      <c r="AH540" s="14" t="s">
        <v>240</v>
      </c>
    </row>
    <row r="541" spans="30:34" x14ac:dyDescent="0.3">
      <c r="AD541" t="s">
        <v>891</v>
      </c>
      <c r="AE541" t="s">
        <v>516</v>
      </c>
      <c r="AG541" s="14" t="s">
        <v>245</v>
      </c>
      <c r="AH541" s="14" t="s">
        <v>240</v>
      </c>
    </row>
    <row r="542" spans="30:34" x14ac:dyDescent="0.3">
      <c r="AD542" t="s">
        <v>892</v>
      </c>
      <c r="AE542" t="s">
        <v>258</v>
      </c>
      <c r="AG542" s="14" t="s">
        <v>244</v>
      </c>
      <c r="AH542" s="14" t="s">
        <v>240</v>
      </c>
    </row>
    <row r="543" spans="30:34" x14ac:dyDescent="0.3">
      <c r="AD543" t="s">
        <v>893</v>
      </c>
      <c r="AE543" t="s">
        <v>611</v>
      </c>
      <c r="AG543" s="14" t="s">
        <v>239</v>
      </c>
      <c r="AH543" s="14" t="s">
        <v>240</v>
      </c>
    </row>
    <row r="544" spans="30:34" x14ac:dyDescent="0.3">
      <c r="AD544" t="s">
        <v>894</v>
      </c>
      <c r="AE544" t="s">
        <v>516</v>
      </c>
      <c r="AG544" s="14" t="s">
        <v>950</v>
      </c>
      <c r="AH544" s="14" t="s">
        <v>240</v>
      </c>
    </row>
    <row r="545" spans="30:34" x14ac:dyDescent="0.3">
      <c r="AD545" t="s">
        <v>895</v>
      </c>
      <c r="AE545" t="s">
        <v>343</v>
      </c>
      <c r="AG545" s="14" t="s">
        <v>921</v>
      </c>
      <c r="AH545" s="14" t="s">
        <v>240</v>
      </c>
    </row>
    <row r="546" spans="30:34" x14ac:dyDescent="0.3">
      <c r="AD546" t="s">
        <v>896</v>
      </c>
      <c r="AE546" t="s">
        <v>258</v>
      </c>
      <c r="AG546" s="14" t="s">
        <v>914</v>
      </c>
      <c r="AH546" s="14" t="s">
        <v>240</v>
      </c>
    </row>
    <row r="547" spans="30:34" x14ac:dyDescent="0.3">
      <c r="AD547" t="s">
        <v>897</v>
      </c>
      <c r="AE547" t="s">
        <v>258</v>
      </c>
      <c r="AG547" s="14" t="s">
        <v>540</v>
      </c>
      <c r="AH547" s="14" t="s">
        <v>240</v>
      </c>
    </row>
    <row r="548" spans="30:34" x14ac:dyDescent="0.3">
      <c r="AD548" t="s">
        <v>898</v>
      </c>
      <c r="AE548" t="s">
        <v>243</v>
      </c>
      <c r="AG548" s="14" t="s">
        <v>768</v>
      </c>
      <c r="AH548" s="14" t="s">
        <v>240</v>
      </c>
    </row>
    <row r="549" spans="30:34" x14ac:dyDescent="0.3">
      <c r="AD549" t="s">
        <v>899</v>
      </c>
      <c r="AE549" t="s">
        <v>258</v>
      </c>
      <c r="AG549" s="14" t="s">
        <v>597</v>
      </c>
      <c r="AH549" s="14" t="s">
        <v>240</v>
      </c>
    </row>
    <row r="550" spans="30:34" x14ac:dyDescent="0.3">
      <c r="AD550" t="s">
        <v>900</v>
      </c>
      <c r="AE550" t="s">
        <v>258</v>
      </c>
      <c r="AG550" s="14" t="s">
        <v>795</v>
      </c>
      <c r="AH550" s="14" t="s">
        <v>240</v>
      </c>
    </row>
    <row r="551" spans="30:34" x14ac:dyDescent="0.3">
      <c r="AD551" t="s">
        <v>901</v>
      </c>
      <c r="AE551" t="s">
        <v>516</v>
      </c>
      <c r="AG551" s="14" t="s">
        <v>903</v>
      </c>
      <c r="AH551" s="14" t="s">
        <v>904</v>
      </c>
    </row>
    <row r="552" spans="30:34" x14ac:dyDescent="0.3">
      <c r="AD552" t="s">
        <v>902</v>
      </c>
      <c r="AE552" t="s">
        <v>258</v>
      </c>
      <c r="AG552" s="14" t="s">
        <v>250</v>
      </c>
      <c r="AH552" s="14" t="s">
        <v>251</v>
      </c>
    </row>
    <row r="553" spans="30:34" x14ac:dyDescent="0.3">
      <c r="AD553" t="s">
        <v>903</v>
      </c>
      <c r="AE553" t="s">
        <v>904</v>
      </c>
      <c r="AG553" s="14" t="s">
        <v>783</v>
      </c>
      <c r="AH553" s="14" t="s">
        <v>512</v>
      </c>
    </row>
    <row r="554" spans="30:34" x14ac:dyDescent="0.3">
      <c r="AD554" t="s">
        <v>905</v>
      </c>
      <c r="AE554" t="s">
        <v>516</v>
      </c>
      <c r="AG554" s="14" t="s">
        <v>924</v>
      </c>
      <c r="AH554" s="14" t="s">
        <v>512</v>
      </c>
    </row>
    <row r="555" spans="30:34" x14ac:dyDescent="0.3">
      <c r="AD555" t="s">
        <v>906</v>
      </c>
      <c r="AE555" t="s">
        <v>907</v>
      </c>
      <c r="AG555" s="14" t="s">
        <v>511</v>
      </c>
      <c r="AH555" s="14" t="s">
        <v>512</v>
      </c>
    </row>
    <row r="556" spans="30:34" x14ac:dyDescent="0.3">
      <c r="AD556" t="s">
        <v>908</v>
      </c>
      <c r="AE556" t="s">
        <v>258</v>
      </c>
      <c r="AG556" s="14" t="s">
        <v>864</v>
      </c>
      <c r="AH556" s="14" t="s">
        <v>512</v>
      </c>
    </row>
    <row r="557" spans="30:34" x14ac:dyDescent="0.3">
      <c r="AD557" t="s">
        <v>909</v>
      </c>
      <c r="AE557" t="s">
        <v>516</v>
      </c>
      <c r="AG557" s="14" t="s">
        <v>612</v>
      </c>
      <c r="AH557" s="14" t="s">
        <v>512</v>
      </c>
    </row>
    <row r="558" spans="30:34" x14ac:dyDescent="0.3">
      <c r="AD558" t="s">
        <v>910</v>
      </c>
      <c r="AE558" t="s">
        <v>258</v>
      </c>
      <c r="AG558" s="14" t="s">
        <v>639</v>
      </c>
      <c r="AH558" s="14" t="s">
        <v>512</v>
      </c>
    </row>
    <row r="559" spans="30:34" x14ac:dyDescent="0.3">
      <c r="AD559" t="s">
        <v>911</v>
      </c>
      <c r="AE559" t="s">
        <v>263</v>
      </c>
      <c r="AG559" s="14" t="s">
        <v>600</v>
      </c>
      <c r="AH559" s="14" t="s">
        <v>512</v>
      </c>
    </row>
    <row r="560" spans="30:34" x14ac:dyDescent="0.3">
      <c r="AD560" t="s">
        <v>912</v>
      </c>
      <c r="AE560" t="s">
        <v>343</v>
      </c>
      <c r="AG560" s="14" t="s">
        <v>576</v>
      </c>
      <c r="AH560" s="14" t="s">
        <v>512</v>
      </c>
    </row>
    <row r="561" spans="30:34" x14ac:dyDescent="0.3">
      <c r="AD561" t="s">
        <v>913</v>
      </c>
      <c r="AE561" t="s">
        <v>343</v>
      </c>
      <c r="AG561" s="14" t="s">
        <v>529</v>
      </c>
      <c r="AH561" s="14" t="s">
        <v>530</v>
      </c>
    </row>
    <row r="562" spans="30:34" x14ac:dyDescent="0.3">
      <c r="AD562" t="s">
        <v>914</v>
      </c>
      <c r="AE562" t="s">
        <v>240</v>
      </c>
      <c r="AG562" s="14" t="s">
        <v>718</v>
      </c>
      <c r="AH562" s="14" t="s">
        <v>519</v>
      </c>
    </row>
    <row r="563" spans="30:34" x14ac:dyDescent="0.3">
      <c r="AD563" t="s">
        <v>915</v>
      </c>
      <c r="AE563" t="s">
        <v>489</v>
      </c>
      <c r="AG563" s="14" t="s">
        <v>518</v>
      </c>
      <c r="AH563" s="14" t="s">
        <v>519</v>
      </c>
    </row>
    <row r="564" spans="30:34" x14ac:dyDescent="0.3">
      <c r="AD564" t="s">
        <v>916</v>
      </c>
      <c r="AE564" t="s">
        <v>258</v>
      </c>
      <c r="AG564" s="14" t="s">
        <v>776</v>
      </c>
      <c r="AH564" s="14" t="s">
        <v>519</v>
      </c>
    </row>
    <row r="565" spans="30:34" x14ac:dyDescent="0.3">
      <c r="AD565" t="s">
        <v>917</v>
      </c>
      <c r="AE565" t="s">
        <v>258</v>
      </c>
      <c r="AG565" s="14" t="s">
        <v>854</v>
      </c>
      <c r="AH565" s="14" t="s">
        <v>519</v>
      </c>
    </row>
    <row r="566" spans="30:34" x14ac:dyDescent="0.3">
      <c r="AD566" t="s">
        <v>918</v>
      </c>
      <c r="AE566" t="s">
        <v>363</v>
      </c>
      <c r="AG566" s="14" t="s">
        <v>542</v>
      </c>
      <c r="AH566" s="14" t="s">
        <v>543</v>
      </c>
    </row>
    <row r="567" spans="30:34" x14ac:dyDescent="0.3">
      <c r="AD567" t="s">
        <v>919</v>
      </c>
      <c r="AE567" t="s">
        <v>352</v>
      </c>
      <c r="AG567" s="14" t="s">
        <v>275</v>
      </c>
      <c r="AH567" s="14" t="s">
        <v>276</v>
      </c>
    </row>
    <row r="568" spans="30:34" x14ac:dyDescent="0.3">
      <c r="AD568" t="s">
        <v>920</v>
      </c>
      <c r="AE568" t="s">
        <v>258</v>
      </c>
      <c r="AG568" s="14" t="s">
        <v>280</v>
      </c>
      <c r="AH568" s="14" t="s">
        <v>281</v>
      </c>
    </row>
    <row r="569" spans="30:34" x14ac:dyDescent="0.3">
      <c r="AD569" t="s">
        <v>921</v>
      </c>
      <c r="AE569" t="s">
        <v>240</v>
      </c>
      <c r="AG569" s="14" t="s">
        <v>325</v>
      </c>
      <c r="AH569" s="14" t="s">
        <v>326</v>
      </c>
    </row>
    <row r="570" spans="30:34" x14ac:dyDescent="0.3">
      <c r="AD570" t="s">
        <v>922</v>
      </c>
      <c r="AE570" t="s">
        <v>258</v>
      </c>
      <c r="AG570" s="14" t="s">
        <v>308</v>
      </c>
      <c r="AH570" s="14" t="s">
        <v>309</v>
      </c>
    </row>
    <row r="571" spans="30:34" x14ac:dyDescent="0.3">
      <c r="AD571" t="s">
        <v>923</v>
      </c>
      <c r="AE571" t="s">
        <v>824</v>
      </c>
      <c r="AG571" s="14" t="s">
        <v>725</v>
      </c>
      <c r="AH571" s="14" t="s">
        <v>655</v>
      </c>
    </row>
    <row r="572" spans="30:34" x14ac:dyDescent="0.3">
      <c r="AD572" t="s">
        <v>924</v>
      </c>
      <c r="AE572" t="s">
        <v>512</v>
      </c>
      <c r="AG572" s="14" t="s">
        <v>654</v>
      </c>
      <c r="AH572" s="14" t="s">
        <v>655</v>
      </c>
    </row>
    <row r="573" spans="30:34" x14ac:dyDescent="0.3">
      <c r="AD573" t="s">
        <v>925</v>
      </c>
      <c r="AE573" t="s">
        <v>258</v>
      </c>
      <c r="AG573" s="14" t="s">
        <v>666</v>
      </c>
      <c r="AH573" s="14" t="s">
        <v>667</v>
      </c>
    </row>
    <row r="574" spans="30:34" x14ac:dyDescent="0.3">
      <c r="AD574" t="s">
        <v>926</v>
      </c>
      <c r="AE574" t="s">
        <v>824</v>
      </c>
      <c r="AG574" s="14" t="s">
        <v>237</v>
      </c>
      <c r="AH574" s="14" t="s">
        <v>238</v>
      </c>
    </row>
    <row r="575" spans="30:34" x14ac:dyDescent="0.3">
      <c r="AD575" t="s">
        <v>927</v>
      </c>
      <c r="AE575" t="s">
        <v>258</v>
      </c>
      <c r="AG575" s="14" t="s">
        <v>411</v>
      </c>
      <c r="AH575" s="14" t="s">
        <v>349</v>
      </c>
    </row>
    <row r="576" spans="30:34" x14ac:dyDescent="0.3">
      <c r="AD576" t="s">
        <v>928</v>
      </c>
      <c r="AE576" t="s">
        <v>929</v>
      </c>
      <c r="AG576" s="14" t="s">
        <v>348</v>
      </c>
      <c r="AH576" s="14" t="s">
        <v>349</v>
      </c>
    </row>
    <row r="577" spans="30:34" x14ac:dyDescent="0.3">
      <c r="AD577" t="s">
        <v>930</v>
      </c>
      <c r="AE577" t="s">
        <v>931</v>
      </c>
      <c r="AG577" s="14" t="s">
        <v>681</v>
      </c>
      <c r="AH577" s="14" t="s">
        <v>682</v>
      </c>
    </row>
    <row r="578" spans="30:34" x14ac:dyDescent="0.3">
      <c r="AD578" t="s">
        <v>932</v>
      </c>
      <c r="AE578" t="s">
        <v>343</v>
      </c>
      <c r="AG578" s="14" t="s">
        <v>334</v>
      </c>
      <c r="AH578" s="14" t="s">
        <v>332</v>
      </c>
    </row>
    <row r="579" spans="30:34" x14ac:dyDescent="0.3">
      <c r="AD579" t="s">
        <v>933</v>
      </c>
      <c r="AE579" t="s">
        <v>258</v>
      </c>
      <c r="AG579" s="14" t="s">
        <v>331</v>
      </c>
      <c r="AH579" s="14" t="s">
        <v>332</v>
      </c>
    </row>
    <row r="580" spans="30:34" x14ac:dyDescent="0.3">
      <c r="AD580" t="s">
        <v>934</v>
      </c>
      <c r="AE580" t="s">
        <v>489</v>
      </c>
      <c r="AG580" s="14" t="s">
        <v>267</v>
      </c>
      <c r="AH580" s="14" t="s">
        <v>268</v>
      </c>
    </row>
    <row r="581" spans="30:34" x14ac:dyDescent="0.3">
      <c r="AD581" t="s">
        <v>935</v>
      </c>
      <c r="AE581" t="s">
        <v>407</v>
      </c>
      <c r="AG581" s="14" t="s">
        <v>327</v>
      </c>
      <c r="AH581" s="14" t="s">
        <v>268</v>
      </c>
    </row>
    <row r="582" spans="30:34" x14ac:dyDescent="0.3">
      <c r="AD582" t="s">
        <v>936</v>
      </c>
      <c r="AE582" t="s">
        <v>258</v>
      </c>
      <c r="AG582" s="14" t="s">
        <v>564</v>
      </c>
      <c r="AH582" s="14" t="s">
        <v>565</v>
      </c>
    </row>
    <row r="583" spans="30:34" x14ac:dyDescent="0.3">
      <c r="AD583" t="s">
        <v>937</v>
      </c>
      <c r="AE583" t="s">
        <v>516</v>
      </c>
      <c r="AG583" s="14" t="s">
        <v>436</v>
      </c>
      <c r="AH583" s="14" t="s">
        <v>437</v>
      </c>
    </row>
    <row r="584" spans="30:34" x14ac:dyDescent="0.3">
      <c r="AD584" t="s">
        <v>938</v>
      </c>
      <c r="AE584" t="s">
        <v>258</v>
      </c>
      <c r="AG584" s="14" t="s">
        <v>598</v>
      </c>
      <c r="AH584" s="14" t="s">
        <v>599</v>
      </c>
    </row>
    <row r="585" spans="30:34" x14ac:dyDescent="0.3">
      <c r="AD585" t="s">
        <v>939</v>
      </c>
      <c r="AE585" t="s">
        <v>258</v>
      </c>
      <c r="AG585" s="14" t="s">
        <v>734</v>
      </c>
      <c r="AH585" s="14" t="s">
        <v>599</v>
      </c>
    </row>
    <row r="586" spans="30:34" x14ac:dyDescent="0.3">
      <c r="AD586" t="s">
        <v>940</v>
      </c>
      <c r="AE586" t="s">
        <v>516</v>
      </c>
      <c r="AG586" s="14" t="s">
        <v>906</v>
      </c>
      <c r="AH586" s="14" t="s">
        <v>907</v>
      </c>
    </row>
    <row r="587" spans="30:34" x14ac:dyDescent="0.3">
      <c r="AD587" t="s">
        <v>941</v>
      </c>
      <c r="AE587" t="s">
        <v>343</v>
      </c>
      <c r="AG587" s="14" t="s">
        <v>503</v>
      </c>
      <c r="AH587" s="14" t="s">
        <v>504</v>
      </c>
    </row>
    <row r="588" spans="30:34" x14ac:dyDescent="0.3">
      <c r="AD588" t="s">
        <v>942</v>
      </c>
      <c r="AE588" t="s">
        <v>258</v>
      </c>
      <c r="AG588" s="14" t="s">
        <v>638</v>
      </c>
      <c r="AH588" s="14" t="s">
        <v>492</v>
      </c>
    </row>
    <row r="589" spans="30:34" x14ac:dyDescent="0.3">
      <c r="AD589" t="s">
        <v>943</v>
      </c>
      <c r="AE589" t="s">
        <v>258</v>
      </c>
      <c r="AG589" s="14" t="s">
        <v>491</v>
      </c>
      <c r="AH589" s="14" t="s">
        <v>492</v>
      </c>
    </row>
    <row r="590" spans="30:34" x14ac:dyDescent="0.3">
      <c r="AD590" t="s">
        <v>944</v>
      </c>
      <c r="AE590" t="s">
        <v>258</v>
      </c>
      <c r="AG590" s="14" t="s">
        <v>344</v>
      </c>
      <c r="AH590" s="14" t="s">
        <v>345</v>
      </c>
    </row>
    <row r="591" spans="30:34" x14ac:dyDescent="0.3">
      <c r="AD591" t="s">
        <v>945</v>
      </c>
      <c r="AE591" t="s">
        <v>258</v>
      </c>
      <c r="AG591" s="14" t="s">
        <v>266</v>
      </c>
      <c r="AH591" s="14" t="s">
        <v>265</v>
      </c>
    </row>
    <row r="592" spans="30:34" x14ac:dyDescent="0.3">
      <c r="AD592" t="s">
        <v>946</v>
      </c>
      <c r="AE592" t="s">
        <v>516</v>
      </c>
      <c r="AG592" s="14" t="s">
        <v>264</v>
      </c>
      <c r="AH592" s="14" t="s">
        <v>265</v>
      </c>
    </row>
    <row r="593" spans="30:34" x14ac:dyDescent="0.3">
      <c r="AD593" t="s">
        <v>947</v>
      </c>
      <c r="AE593" t="s">
        <v>258</v>
      </c>
      <c r="AG593" s="14" t="s">
        <v>770</v>
      </c>
      <c r="AH593" s="14" t="s">
        <v>771</v>
      </c>
    </row>
    <row r="594" spans="30:34" x14ac:dyDescent="0.3">
      <c r="AD594" t="s">
        <v>948</v>
      </c>
      <c r="AE594" t="s">
        <v>516</v>
      </c>
      <c r="AG594" s="14" t="s">
        <v>295</v>
      </c>
      <c r="AH594" s="14" t="s">
        <v>247</v>
      </c>
    </row>
    <row r="595" spans="30:34" x14ac:dyDescent="0.3">
      <c r="AD595" t="s">
        <v>949</v>
      </c>
      <c r="AE595" t="s">
        <v>516</v>
      </c>
      <c r="AG595" s="14" t="s">
        <v>994</v>
      </c>
      <c r="AH595" s="14" t="s">
        <v>247</v>
      </c>
    </row>
    <row r="596" spans="30:34" x14ac:dyDescent="0.3">
      <c r="AD596" t="s">
        <v>950</v>
      </c>
      <c r="AE596" t="s">
        <v>240</v>
      </c>
      <c r="AG596" s="14" t="s">
        <v>246</v>
      </c>
      <c r="AH596" s="14" t="s">
        <v>247</v>
      </c>
    </row>
    <row r="597" spans="30:34" x14ac:dyDescent="0.3">
      <c r="AD597" t="s">
        <v>951</v>
      </c>
      <c r="AE597" t="s">
        <v>258</v>
      </c>
      <c r="AG597" s="14" t="s">
        <v>497</v>
      </c>
      <c r="AH597" s="14" t="s">
        <v>498</v>
      </c>
    </row>
    <row r="598" spans="30:34" x14ac:dyDescent="0.3">
      <c r="AD598" t="s">
        <v>952</v>
      </c>
      <c r="AE598" t="s">
        <v>258</v>
      </c>
      <c r="AG598" s="14" t="s">
        <v>401</v>
      </c>
      <c r="AH598" s="14" t="s">
        <v>402</v>
      </c>
    </row>
    <row r="599" spans="30:34" x14ac:dyDescent="0.3">
      <c r="AD599" t="s">
        <v>953</v>
      </c>
      <c r="AE599" t="s">
        <v>548</v>
      </c>
      <c r="AG599" s="14" t="s">
        <v>614</v>
      </c>
      <c r="AH599" s="14" t="s">
        <v>615</v>
      </c>
    </row>
    <row r="600" spans="30:34" x14ac:dyDescent="0.3">
      <c r="AD600" t="s">
        <v>954</v>
      </c>
      <c r="AE600" t="s">
        <v>258</v>
      </c>
      <c r="AG600" s="14" t="s">
        <v>786</v>
      </c>
      <c r="AH600" s="14" t="s">
        <v>590</v>
      </c>
    </row>
    <row r="601" spans="30:34" x14ac:dyDescent="0.3">
      <c r="AD601" t="s">
        <v>955</v>
      </c>
      <c r="AE601" t="s">
        <v>284</v>
      </c>
      <c r="AG601" s="14" t="s">
        <v>662</v>
      </c>
      <c r="AH601" s="14" t="s">
        <v>590</v>
      </c>
    </row>
    <row r="602" spans="30:34" x14ac:dyDescent="0.3">
      <c r="AD602" t="s">
        <v>956</v>
      </c>
      <c r="AE602" t="s">
        <v>363</v>
      </c>
      <c r="AG602" s="14" t="s">
        <v>589</v>
      </c>
      <c r="AH602" s="14" t="s">
        <v>590</v>
      </c>
    </row>
    <row r="603" spans="30:34" x14ac:dyDescent="0.3">
      <c r="AD603" t="s">
        <v>957</v>
      </c>
      <c r="AE603" t="s">
        <v>258</v>
      </c>
      <c r="AG603" s="14" t="s">
        <v>821</v>
      </c>
      <c r="AH603" s="14" t="s">
        <v>516</v>
      </c>
    </row>
    <row r="604" spans="30:34" x14ac:dyDescent="0.3">
      <c r="AD604" t="s">
        <v>958</v>
      </c>
      <c r="AE604" t="s">
        <v>258</v>
      </c>
      <c r="AG604" s="14" t="s">
        <v>712</v>
      </c>
      <c r="AH604" s="14" t="s">
        <v>516</v>
      </c>
    </row>
    <row r="605" spans="30:34" x14ac:dyDescent="0.3">
      <c r="AD605" t="s">
        <v>959</v>
      </c>
      <c r="AE605" t="s">
        <v>343</v>
      </c>
      <c r="AG605" s="14" t="s">
        <v>905</v>
      </c>
      <c r="AH605" s="14" t="s">
        <v>516</v>
      </c>
    </row>
    <row r="606" spans="30:34" x14ac:dyDescent="0.3">
      <c r="AD606" t="s">
        <v>960</v>
      </c>
      <c r="AE606" t="s">
        <v>258</v>
      </c>
      <c r="AG606" s="14" t="s">
        <v>796</v>
      </c>
      <c r="AH606" s="14" t="s">
        <v>516</v>
      </c>
    </row>
    <row r="607" spans="30:34" x14ac:dyDescent="0.3">
      <c r="AD607" t="s">
        <v>961</v>
      </c>
      <c r="AE607" t="s">
        <v>516</v>
      </c>
      <c r="AG607" s="14" t="s">
        <v>797</v>
      </c>
      <c r="AH607" s="14" t="s">
        <v>516</v>
      </c>
    </row>
    <row r="608" spans="30:34" x14ac:dyDescent="0.3">
      <c r="AD608" t="s">
        <v>962</v>
      </c>
      <c r="AE608" t="s">
        <v>516</v>
      </c>
      <c r="AG608" s="14" t="s">
        <v>832</v>
      </c>
      <c r="AH608" s="14" t="s">
        <v>516</v>
      </c>
    </row>
    <row r="609" spans="30:34" x14ac:dyDescent="0.3">
      <c r="AD609" t="s">
        <v>963</v>
      </c>
      <c r="AE609" t="s">
        <v>343</v>
      </c>
      <c r="AG609" s="14" t="s">
        <v>533</v>
      </c>
      <c r="AH609" s="14" t="s">
        <v>516</v>
      </c>
    </row>
    <row r="610" spans="30:34" x14ac:dyDescent="0.3">
      <c r="AD610" t="s">
        <v>964</v>
      </c>
      <c r="AE610" t="s">
        <v>258</v>
      </c>
      <c r="AG610" s="14" t="s">
        <v>592</v>
      </c>
      <c r="AH610" s="14" t="s">
        <v>516</v>
      </c>
    </row>
    <row r="611" spans="30:34" x14ac:dyDescent="0.3">
      <c r="AD611" t="s">
        <v>965</v>
      </c>
      <c r="AE611" t="s">
        <v>489</v>
      </c>
      <c r="AG611" s="14" t="s">
        <v>628</v>
      </c>
      <c r="AH611" s="14" t="s">
        <v>516</v>
      </c>
    </row>
    <row r="612" spans="30:34" x14ac:dyDescent="0.3">
      <c r="AD612" t="s">
        <v>966</v>
      </c>
      <c r="AE612" t="s">
        <v>343</v>
      </c>
      <c r="AG612" s="14" t="s">
        <v>798</v>
      </c>
      <c r="AH612" s="14" t="s">
        <v>516</v>
      </c>
    </row>
    <row r="613" spans="30:34" x14ac:dyDescent="0.3">
      <c r="AD613" t="s">
        <v>967</v>
      </c>
      <c r="AE613" t="s">
        <v>516</v>
      </c>
      <c r="AG613" s="14" t="s">
        <v>746</v>
      </c>
      <c r="AH613" s="14" t="s">
        <v>516</v>
      </c>
    </row>
    <row r="614" spans="30:34" x14ac:dyDescent="0.3">
      <c r="AD614" t="s">
        <v>968</v>
      </c>
      <c r="AE614" t="s">
        <v>415</v>
      </c>
      <c r="AG614" s="14" t="s">
        <v>773</v>
      </c>
      <c r="AH614" s="14" t="s">
        <v>516</v>
      </c>
    </row>
    <row r="615" spans="30:34" x14ac:dyDescent="0.3">
      <c r="AD615" t="s">
        <v>969</v>
      </c>
      <c r="AE615" t="s">
        <v>258</v>
      </c>
      <c r="AG615" s="14" t="s">
        <v>735</v>
      </c>
      <c r="AH615" s="14" t="s">
        <v>516</v>
      </c>
    </row>
    <row r="616" spans="30:34" x14ac:dyDescent="0.3">
      <c r="AD616" t="s">
        <v>970</v>
      </c>
      <c r="AE616" t="s">
        <v>258</v>
      </c>
      <c r="AG616" s="14" t="s">
        <v>572</v>
      </c>
      <c r="AH616" s="14" t="s">
        <v>516</v>
      </c>
    </row>
    <row r="617" spans="30:34" x14ac:dyDescent="0.3">
      <c r="AD617" t="s">
        <v>971</v>
      </c>
      <c r="AE617" t="s">
        <v>258</v>
      </c>
      <c r="AG617" s="14" t="s">
        <v>594</v>
      </c>
      <c r="AH617" s="14" t="s">
        <v>516</v>
      </c>
    </row>
    <row r="618" spans="30:34" x14ac:dyDescent="0.3">
      <c r="AD618" t="s">
        <v>972</v>
      </c>
      <c r="AE618" t="s">
        <v>343</v>
      </c>
      <c r="AG618" s="14" t="s">
        <v>515</v>
      </c>
      <c r="AH618" s="14" t="s">
        <v>516</v>
      </c>
    </row>
    <row r="619" spans="30:34" x14ac:dyDescent="0.3">
      <c r="AD619" t="s">
        <v>973</v>
      </c>
      <c r="AE619" t="s">
        <v>258</v>
      </c>
      <c r="AG619" s="14" t="s">
        <v>891</v>
      </c>
      <c r="AH619" s="14" t="s">
        <v>516</v>
      </c>
    </row>
    <row r="620" spans="30:34" x14ac:dyDescent="0.3">
      <c r="AD620" t="s">
        <v>974</v>
      </c>
      <c r="AE620" t="s">
        <v>258</v>
      </c>
      <c r="AG620" s="14" t="s">
        <v>553</v>
      </c>
      <c r="AH620" s="14" t="s">
        <v>516</v>
      </c>
    </row>
    <row r="621" spans="30:34" x14ac:dyDescent="0.3">
      <c r="AD621" t="s">
        <v>975</v>
      </c>
      <c r="AE621" t="s">
        <v>516</v>
      </c>
      <c r="AG621" s="14" t="s">
        <v>566</v>
      </c>
      <c r="AH621" s="14" t="s">
        <v>516</v>
      </c>
    </row>
    <row r="622" spans="30:34" x14ac:dyDescent="0.3">
      <c r="AD622" t="s">
        <v>976</v>
      </c>
      <c r="AE622" t="s">
        <v>258</v>
      </c>
      <c r="AG622" s="14" t="s">
        <v>554</v>
      </c>
      <c r="AH622" s="14" t="s">
        <v>516</v>
      </c>
    </row>
    <row r="623" spans="30:34" x14ac:dyDescent="0.3">
      <c r="AD623" t="s">
        <v>977</v>
      </c>
      <c r="AE623" t="s">
        <v>516</v>
      </c>
      <c r="AG623" s="14" t="s">
        <v>844</v>
      </c>
      <c r="AH623" s="14" t="s">
        <v>516</v>
      </c>
    </row>
    <row r="624" spans="30:34" x14ac:dyDescent="0.3">
      <c r="AD624" t="s">
        <v>978</v>
      </c>
      <c r="AE624" t="s">
        <v>258</v>
      </c>
      <c r="AG624" s="14" t="s">
        <v>788</v>
      </c>
      <c r="AH624" s="14" t="s">
        <v>516</v>
      </c>
    </row>
    <row r="625" spans="30:34" x14ac:dyDescent="0.3">
      <c r="AD625" t="s">
        <v>979</v>
      </c>
      <c r="AE625" t="s">
        <v>611</v>
      </c>
      <c r="AG625" s="14" t="s">
        <v>624</v>
      </c>
      <c r="AH625" s="14" t="s">
        <v>516</v>
      </c>
    </row>
    <row r="626" spans="30:34" x14ac:dyDescent="0.3">
      <c r="AD626" t="s">
        <v>980</v>
      </c>
      <c r="AE626" t="s">
        <v>516</v>
      </c>
      <c r="AG626" s="14" t="s">
        <v>961</v>
      </c>
      <c r="AH626" s="14" t="s">
        <v>516</v>
      </c>
    </row>
    <row r="627" spans="30:34" x14ac:dyDescent="0.3">
      <c r="AD627" t="s">
        <v>981</v>
      </c>
      <c r="AE627" t="s">
        <v>240</v>
      </c>
      <c r="AG627" s="14" t="s">
        <v>997</v>
      </c>
      <c r="AH627" s="14" t="s">
        <v>516</v>
      </c>
    </row>
    <row r="628" spans="30:34" x14ac:dyDescent="0.3">
      <c r="AD628" t="s">
        <v>982</v>
      </c>
      <c r="AE628" t="s">
        <v>258</v>
      </c>
      <c r="AG628" s="14" t="s">
        <v>937</v>
      </c>
      <c r="AH628" s="14" t="s">
        <v>516</v>
      </c>
    </row>
    <row r="629" spans="30:34" x14ac:dyDescent="0.3">
      <c r="AD629" t="s">
        <v>983</v>
      </c>
      <c r="AE629" t="s">
        <v>258</v>
      </c>
      <c r="AG629" s="14" t="s">
        <v>847</v>
      </c>
      <c r="AH629" s="14" t="s">
        <v>516</v>
      </c>
    </row>
    <row r="630" spans="30:34" x14ac:dyDescent="0.3">
      <c r="AD630" t="s">
        <v>984</v>
      </c>
      <c r="AE630" t="s">
        <v>330</v>
      </c>
      <c r="AG630" s="14" t="s">
        <v>664</v>
      </c>
      <c r="AH630" s="14" t="s">
        <v>516</v>
      </c>
    </row>
    <row r="631" spans="30:34" x14ac:dyDescent="0.3">
      <c r="AD631" t="s">
        <v>985</v>
      </c>
      <c r="AE631" t="s">
        <v>343</v>
      </c>
      <c r="AG631" s="14" t="s">
        <v>580</v>
      </c>
      <c r="AH631" s="14" t="s">
        <v>516</v>
      </c>
    </row>
    <row r="632" spans="30:34" x14ac:dyDescent="0.3">
      <c r="AD632" t="s">
        <v>986</v>
      </c>
      <c r="AE632" t="s">
        <v>987</v>
      </c>
      <c r="AG632" s="14" t="s">
        <v>1003</v>
      </c>
      <c r="AH632" s="14" t="s">
        <v>516</v>
      </c>
    </row>
    <row r="633" spans="30:34" x14ac:dyDescent="0.3">
      <c r="AD633" t="s">
        <v>988</v>
      </c>
      <c r="AE633" t="s">
        <v>258</v>
      </c>
      <c r="AG633" s="14" t="s">
        <v>730</v>
      </c>
      <c r="AH633" s="14" t="s">
        <v>516</v>
      </c>
    </row>
    <row r="634" spans="30:34" x14ac:dyDescent="0.3">
      <c r="AD634" t="s">
        <v>989</v>
      </c>
      <c r="AE634" t="s">
        <v>343</v>
      </c>
      <c r="AG634" s="14" t="s">
        <v>631</v>
      </c>
      <c r="AH634" s="14" t="s">
        <v>516</v>
      </c>
    </row>
    <row r="635" spans="30:34" x14ac:dyDescent="0.3">
      <c r="AD635" t="s">
        <v>990</v>
      </c>
      <c r="AE635" t="s">
        <v>258</v>
      </c>
      <c r="AG635" s="14" t="s">
        <v>507</v>
      </c>
      <c r="AH635" s="14" t="s">
        <v>508</v>
      </c>
    </row>
    <row r="636" spans="30:34" x14ac:dyDescent="0.3">
      <c r="AD636" t="s">
        <v>991</v>
      </c>
      <c r="AE636" t="s">
        <v>258</v>
      </c>
      <c r="AG636" s="14" t="s">
        <v>481</v>
      </c>
      <c r="AH636" s="14" t="s">
        <v>482</v>
      </c>
    </row>
    <row r="637" spans="30:34" x14ac:dyDescent="0.3">
      <c r="AD637" t="s">
        <v>992</v>
      </c>
      <c r="AE637" t="s">
        <v>516</v>
      </c>
      <c r="AG637" s="14" t="s">
        <v>909</v>
      </c>
      <c r="AH637" s="14" t="s">
        <v>516</v>
      </c>
    </row>
    <row r="638" spans="30:34" x14ac:dyDescent="0.3">
      <c r="AD638" t="s">
        <v>993</v>
      </c>
      <c r="AE638" t="s">
        <v>258</v>
      </c>
      <c r="AG638" s="14" t="s">
        <v>842</v>
      </c>
      <c r="AH638" s="14" t="s">
        <v>516</v>
      </c>
    </row>
    <row r="639" spans="30:34" x14ac:dyDescent="0.3">
      <c r="AD639" t="s">
        <v>994</v>
      </c>
      <c r="AE639" t="s">
        <v>247</v>
      </c>
      <c r="AG639" s="14" t="s">
        <v>999</v>
      </c>
      <c r="AH639" s="14" t="s">
        <v>516</v>
      </c>
    </row>
    <row r="640" spans="30:34" x14ac:dyDescent="0.3">
      <c r="AD640" t="s">
        <v>995</v>
      </c>
      <c r="AE640" t="s">
        <v>996</v>
      </c>
      <c r="AG640" s="14" t="s">
        <v>901</v>
      </c>
      <c r="AH640" s="14" t="s">
        <v>516</v>
      </c>
    </row>
    <row r="641" spans="30:34" x14ac:dyDescent="0.3">
      <c r="AD641" t="s">
        <v>997</v>
      </c>
      <c r="AE641" t="s">
        <v>516</v>
      </c>
      <c r="AG641" s="14" t="s">
        <v>1002</v>
      </c>
      <c r="AH641" s="14" t="s">
        <v>516</v>
      </c>
    </row>
    <row r="642" spans="30:34" x14ac:dyDescent="0.3">
      <c r="AD642" t="s">
        <v>998</v>
      </c>
      <c r="AE642" t="s">
        <v>258</v>
      </c>
      <c r="AG642" s="14" t="s">
        <v>940</v>
      </c>
      <c r="AH642" s="14" t="s">
        <v>516</v>
      </c>
    </row>
    <row r="643" spans="30:34" x14ac:dyDescent="0.3">
      <c r="AD643" t="s">
        <v>999</v>
      </c>
      <c r="AE643" t="s">
        <v>516</v>
      </c>
      <c r="AG643" s="14" t="s">
        <v>846</v>
      </c>
      <c r="AH643" s="14" t="s">
        <v>516</v>
      </c>
    </row>
    <row r="644" spans="30:34" x14ac:dyDescent="0.3">
      <c r="AD644" t="s">
        <v>1000</v>
      </c>
      <c r="AE644" t="s">
        <v>1001</v>
      </c>
      <c r="AG644" s="14" t="s">
        <v>967</v>
      </c>
      <c r="AH644" s="14" t="s">
        <v>516</v>
      </c>
    </row>
    <row r="645" spans="30:34" x14ac:dyDescent="0.3">
      <c r="AD645" t="s">
        <v>1002</v>
      </c>
      <c r="AE645" t="s">
        <v>516</v>
      </c>
      <c r="AG645" s="14" t="s">
        <v>948</v>
      </c>
      <c r="AH645" s="14" t="s">
        <v>516</v>
      </c>
    </row>
    <row r="646" spans="30:34" x14ac:dyDescent="0.3">
      <c r="AD646" t="s">
        <v>1003</v>
      </c>
      <c r="AE646" t="s">
        <v>516</v>
      </c>
      <c r="AG646" s="14" t="s">
        <v>853</v>
      </c>
      <c r="AH646" s="14" t="s">
        <v>516</v>
      </c>
    </row>
    <row r="647" spans="30:34" x14ac:dyDescent="0.3">
      <c r="AD647" t="s">
        <v>1004</v>
      </c>
      <c r="AE647" t="s">
        <v>258</v>
      </c>
      <c r="AG647" s="14" t="s">
        <v>709</v>
      </c>
      <c r="AH647" s="14" t="s">
        <v>516</v>
      </c>
    </row>
    <row r="648" spans="30:34" x14ac:dyDescent="0.3">
      <c r="AD648" t="s">
        <v>1005</v>
      </c>
      <c r="AE648" t="s">
        <v>258</v>
      </c>
      <c r="AG648" s="14" t="s">
        <v>747</v>
      </c>
      <c r="AH648" s="14" t="s">
        <v>516</v>
      </c>
    </row>
    <row r="649" spans="30:34" x14ac:dyDescent="0.3">
      <c r="AD649" t="s">
        <v>1006</v>
      </c>
      <c r="AE649" t="s">
        <v>258</v>
      </c>
      <c r="AG649" s="14" t="s">
        <v>819</v>
      </c>
      <c r="AH649" s="14" t="s">
        <v>516</v>
      </c>
    </row>
    <row r="650" spans="30:34" x14ac:dyDescent="0.3">
      <c r="AD650" t="s">
        <v>1007</v>
      </c>
      <c r="AE650" t="s">
        <v>1008</v>
      </c>
      <c r="AG650" s="14" t="s">
        <v>855</v>
      </c>
      <c r="AH650" s="14" t="s">
        <v>516</v>
      </c>
    </row>
    <row r="651" spans="30:34" x14ac:dyDescent="0.3">
      <c r="AD651" t="s">
        <v>1009</v>
      </c>
      <c r="AE651" t="s">
        <v>258</v>
      </c>
      <c r="AG651" s="14" t="s">
        <v>531</v>
      </c>
      <c r="AH651" s="14" t="s">
        <v>516</v>
      </c>
    </row>
    <row r="652" spans="30:34" x14ac:dyDescent="0.3">
      <c r="AD652" t="s">
        <v>1010</v>
      </c>
      <c r="AE652" t="s">
        <v>243</v>
      </c>
      <c r="AG652" s="14" t="s">
        <v>949</v>
      </c>
      <c r="AH652" s="14" t="s">
        <v>516</v>
      </c>
    </row>
    <row r="653" spans="30:34" x14ac:dyDescent="0.3">
      <c r="AD653" t="s">
        <v>1011</v>
      </c>
      <c r="AE653" t="s">
        <v>1012</v>
      </c>
      <c r="AG653" s="14" t="s">
        <v>837</v>
      </c>
      <c r="AH653" s="14" t="s">
        <v>516</v>
      </c>
    </row>
    <row r="654" spans="30:34" x14ac:dyDescent="0.3">
      <c r="AD654" t="s">
        <v>1013</v>
      </c>
      <c r="AE654" t="s">
        <v>405</v>
      </c>
      <c r="AG654" s="14" t="s">
        <v>894</v>
      </c>
      <c r="AH654" s="14" t="s">
        <v>516</v>
      </c>
    </row>
    <row r="655" spans="30:34" x14ac:dyDescent="0.3">
      <c r="AD655" t="s">
        <v>1014</v>
      </c>
      <c r="AE655" t="s">
        <v>343</v>
      </c>
      <c r="AG655" s="14" t="s">
        <v>962</v>
      </c>
      <c r="AH655" s="14" t="s">
        <v>516</v>
      </c>
    </row>
    <row r="656" spans="30:34" x14ac:dyDescent="0.3">
      <c r="AD656" t="s">
        <v>1015</v>
      </c>
      <c r="AE656" t="s">
        <v>343</v>
      </c>
      <c r="AG656" s="14" t="s">
        <v>691</v>
      </c>
      <c r="AH656" s="14" t="s">
        <v>516</v>
      </c>
    </row>
    <row r="657" spans="30:34" x14ac:dyDescent="0.3">
      <c r="AD657" t="s">
        <v>1016</v>
      </c>
      <c r="AE657" t="s">
        <v>548</v>
      </c>
      <c r="AG657" s="14" t="s">
        <v>609</v>
      </c>
      <c r="AH657" s="14" t="s">
        <v>516</v>
      </c>
    </row>
    <row r="658" spans="30:34" x14ac:dyDescent="0.3">
      <c r="AD658" t="s">
        <v>1017</v>
      </c>
      <c r="AE658" t="s">
        <v>312</v>
      </c>
      <c r="AG658" s="14" t="s">
        <v>992</v>
      </c>
      <c r="AH658" s="14" t="s">
        <v>516</v>
      </c>
    </row>
    <row r="659" spans="30:34" x14ac:dyDescent="0.3">
      <c r="AD659" t="s">
        <v>1018</v>
      </c>
      <c r="AE659" t="s">
        <v>258</v>
      </c>
      <c r="AG659" s="14" t="s">
        <v>767</v>
      </c>
      <c r="AH659" s="14" t="s">
        <v>516</v>
      </c>
    </row>
    <row r="660" spans="30:34" x14ac:dyDescent="0.3">
      <c r="AD660" t="s">
        <v>1019</v>
      </c>
      <c r="AE660" t="s">
        <v>352</v>
      </c>
      <c r="AG660" s="14" t="s">
        <v>975</v>
      </c>
      <c r="AH660" s="14" t="s">
        <v>516</v>
      </c>
    </row>
    <row r="661" spans="30:34" x14ac:dyDescent="0.3">
      <c r="AD661" t="s">
        <v>1020</v>
      </c>
      <c r="AE661" t="s">
        <v>1021</v>
      </c>
      <c r="AG661" s="14" t="s">
        <v>946</v>
      </c>
      <c r="AH661" s="14" t="s">
        <v>516</v>
      </c>
    </row>
    <row r="662" spans="30:34" x14ac:dyDescent="0.3">
      <c r="AD662" t="s">
        <v>1022</v>
      </c>
      <c r="AE662" t="s">
        <v>824</v>
      </c>
      <c r="AG662" s="14" t="s">
        <v>977</v>
      </c>
      <c r="AH662" s="14" t="s">
        <v>516</v>
      </c>
    </row>
    <row r="663" spans="30:34" x14ac:dyDescent="0.3">
      <c r="AD663" t="s">
        <v>1023</v>
      </c>
      <c r="AE663" t="s">
        <v>258</v>
      </c>
      <c r="AG663" s="14" t="s">
        <v>980</v>
      </c>
      <c r="AH663" s="14" t="s">
        <v>516</v>
      </c>
    </row>
    <row r="664" spans="30:34" x14ac:dyDescent="0.3">
      <c r="AD664" t="s">
        <v>1024</v>
      </c>
      <c r="AE664" t="s">
        <v>835</v>
      </c>
      <c r="AG664" s="14" t="s">
        <v>868</v>
      </c>
      <c r="AH664" s="14" t="s">
        <v>516</v>
      </c>
    </row>
    <row r="665" spans="30:34" x14ac:dyDescent="0.3">
      <c r="AD665" t="s">
        <v>1025</v>
      </c>
      <c r="AE665" t="s">
        <v>243</v>
      </c>
      <c r="AG665" s="14" t="s">
        <v>673</v>
      </c>
      <c r="AH665" s="14" t="s">
        <v>516</v>
      </c>
    </row>
    <row r="666" spans="30:34" x14ac:dyDescent="0.3">
      <c r="AD666" t="s">
        <v>1026</v>
      </c>
      <c r="AE666" t="s">
        <v>258</v>
      </c>
      <c r="AG666" s="14" t="s">
        <v>302</v>
      </c>
      <c r="AH666" s="14" t="s">
        <v>303</v>
      </c>
    </row>
    <row r="667" spans="30:34" x14ac:dyDescent="0.3">
      <c r="AD667" t="s">
        <v>1027</v>
      </c>
      <c r="AE667" t="s">
        <v>407</v>
      </c>
      <c r="AG667" s="14" t="s">
        <v>585</v>
      </c>
      <c r="AH667" s="14" t="s">
        <v>586</v>
      </c>
    </row>
    <row r="767" spans="33:33" x14ac:dyDescent="0.3">
      <c r="AG767" t="s">
        <v>226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enario">
    <tabColor rgb="FF0070C0"/>
  </sheetPr>
  <dimension ref="A2:W31"/>
  <sheetViews>
    <sheetView showGridLines="0" showRowColHeaders="0" zoomScaleNormal="100" workbookViewId="0">
      <selection activeCell="R6" sqref="R6"/>
    </sheetView>
  </sheetViews>
  <sheetFormatPr defaultRowHeight="14.4" outlineLevelCol="1" x14ac:dyDescent="0.3"/>
  <cols>
    <col min="1" max="1" width="5.109375" customWidth="1"/>
    <col min="2" max="2" width="19.109375" bestFit="1" customWidth="1"/>
    <col min="3" max="4" width="11" customWidth="1"/>
    <col min="5" max="5" width="5.5546875" customWidth="1"/>
    <col min="6" max="6" width="7.33203125" customWidth="1"/>
    <col min="7" max="8" width="5.109375" customWidth="1"/>
    <col min="9" max="9" width="10.6640625" hidden="1" customWidth="1" outlineLevel="1"/>
    <col min="10" max="10" width="12.33203125" customWidth="1" collapsed="1"/>
    <col min="11" max="11" width="17.21875" bestFit="1" customWidth="1"/>
    <col min="15" max="15" width="5.109375" customWidth="1"/>
    <col min="16" max="16" width="12.77734375" customWidth="1"/>
    <col min="18" max="18" width="12.77734375" bestFit="1" customWidth="1"/>
    <col min="19" max="19" width="8.5546875" customWidth="1"/>
    <col min="20" max="20" width="5.109375" customWidth="1"/>
    <col min="21" max="21" width="22.77734375" customWidth="1"/>
    <col min="22" max="22" width="8.88671875" hidden="1" customWidth="1" outlineLevel="1"/>
    <col min="23" max="23" width="8.88671875" collapsed="1"/>
  </cols>
  <sheetData>
    <row r="2" spans="1:23" ht="15" thickBot="1" x14ac:dyDescent="0.35">
      <c r="A2" s="7"/>
      <c r="B2" s="3" t="s">
        <v>3</v>
      </c>
      <c r="C2" s="3"/>
      <c r="D2" s="1"/>
      <c r="E2" s="1"/>
      <c r="F2" s="7"/>
      <c r="G2" s="7"/>
      <c r="H2" s="6" t="s">
        <v>143</v>
      </c>
      <c r="I2" s="5"/>
      <c r="J2" s="5"/>
      <c r="K2" s="1"/>
      <c r="O2" s="7"/>
      <c r="P2" s="4" t="s">
        <v>167</v>
      </c>
      <c r="Q2" s="4"/>
      <c r="R2" s="1"/>
      <c r="S2" s="7"/>
      <c r="T2" s="7"/>
      <c r="U2" s="16" t="s">
        <v>156</v>
      </c>
      <c r="V2" s="16"/>
      <c r="W2" s="1"/>
    </row>
    <row r="3" spans="1:23" ht="15.6" thickTop="1" thickBot="1" x14ac:dyDescent="0.35"/>
    <row r="4" spans="1:23" ht="15" thickBot="1" x14ac:dyDescent="0.35">
      <c r="C4" t="s">
        <v>165</v>
      </c>
      <c r="D4" t="s">
        <v>166</v>
      </c>
      <c r="H4" s="8" t="s">
        <v>144</v>
      </c>
      <c r="J4" s="22"/>
      <c r="K4" s="29" t="str">
        <f>IF(ISBLANK(site_code),"&lt; NEW SITE &gt;",INDEX(SQL_Sites_1[customer],MATCH(site_code,SQL_Sites_1[id],0)))</f>
        <v>&lt; NEW SITE &gt;</v>
      </c>
      <c r="P4" s="12" t="s">
        <v>154</v>
      </c>
      <c r="U4" s="8"/>
      <c r="V4" s="19" t="b">
        <v>0</v>
      </c>
    </row>
    <row r="5" spans="1:23" ht="15" thickBot="1" x14ac:dyDescent="0.35">
      <c r="B5" s="8" t="s">
        <v>162</v>
      </c>
      <c r="C5" s="21"/>
      <c r="D5" s="21"/>
      <c r="F5" s="8"/>
      <c r="P5" s="7" t="s">
        <v>7</v>
      </c>
      <c r="Q5" s="7" t="s">
        <v>8</v>
      </c>
      <c r="R5" t="s">
        <v>168</v>
      </c>
      <c r="S5" t="s">
        <v>141</v>
      </c>
      <c r="U5" s="8"/>
      <c r="V5" s="20" t="b">
        <v>0</v>
      </c>
    </row>
    <row r="6" spans="1:23" ht="15" thickBot="1" x14ac:dyDescent="0.35">
      <c r="B6" s="8" t="s">
        <v>163</v>
      </c>
      <c r="C6" s="31"/>
      <c r="D6" s="31"/>
      <c r="E6" s="32"/>
      <c r="F6" t="s">
        <v>1030</v>
      </c>
      <c r="P6" s="24"/>
      <c r="Q6" s="24"/>
      <c r="R6" s="25"/>
      <c r="S6" s="26">
        <f>SUMIFS(SQL_Modules[rating], SQL_Modules[model], Roadmap[[#This Row],[model]], SQL_Modules[mark], Roadmap[[#This Row],[mark]], SQL_Modules[model_number], Roadmap[[#This Row],[model number]])</f>
        <v>0</v>
      </c>
      <c r="U6" s="8"/>
      <c r="V6" s="19" t="b">
        <v>1</v>
      </c>
    </row>
    <row r="7" spans="1:23" ht="15" thickBot="1" x14ac:dyDescent="0.35">
      <c r="B7" s="8" t="s">
        <v>164</v>
      </c>
      <c r="C7" s="21"/>
      <c r="D7" s="21"/>
      <c r="H7" s="2" t="s">
        <v>155</v>
      </c>
      <c r="I7" s="2"/>
      <c r="J7" s="2"/>
      <c r="K7" s="1"/>
      <c r="L7" s="1"/>
      <c r="U7" s="8"/>
      <c r="V7" s="19" t="b">
        <v>0</v>
      </c>
    </row>
    <row r="8" spans="1:23" ht="15" thickBot="1" x14ac:dyDescent="0.35">
      <c r="B8" s="8"/>
      <c r="U8" s="17"/>
      <c r="V8" s="19" t="b">
        <v>1</v>
      </c>
    </row>
    <row r="9" spans="1:23" ht="15" thickBot="1" x14ac:dyDescent="0.35">
      <c r="B9" s="17" t="s">
        <v>169</v>
      </c>
      <c r="C9" s="22"/>
      <c r="H9" s="8" t="s">
        <v>0</v>
      </c>
      <c r="J9" s="30"/>
    </row>
    <row r="10" spans="1:23" ht="15" thickBot="1" x14ac:dyDescent="0.35">
      <c r="B10" s="8"/>
    </row>
    <row r="11" spans="1:23" ht="15" thickBot="1" x14ac:dyDescent="0.35">
      <c r="B11" s="8" t="s">
        <v>1</v>
      </c>
      <c r="C11" s="22"/>
      <c r="D11" t="s">
        <v>2</v>
      </c>
      <c r="H11" s="8" t="s">
        <v>170</v>
      </c>
      <c r="J11" s="28"/>
      <c r="K11" t="s">
        <v>172</v>
      </c>
      <c r="L11" s="8" t="s">
        <v>171</v>
      </c>
      <c r="M11" s="27">
        <f>IF(ISBLANK(J11),1,IFERROR(J11/SUM(NewServers[nameplate]),1))</f>
        <v>1</v>
      </c>
      <c r="P11" s="9"/>
      <c r="Q11" s="9"/>
    </row>
    <row r="12" spans="1:23" x14ac:dyDescent="0.3">
      <c r="P12" s="15"/>
      <c r="Q12" s="15"/>
    </row>
    <row r="13" spans="1:23" x14ac:dyDescent="0.3">
      <c r="B13" s="8" t="s">
        <v>159</v>
      </c>
      <c r="C13" t="s">
        <v>157</v>
      </c>
      <c r="D13" t="s">
        <v>158</v>
      </c>
      <c r="H13" s="8" t="s">
        <v>153</v>
      </c>
      <c r="P13" s="15"/>
      <c r="Q13" s="15"/>
    </row>
    <row r="14" spans="1:23" x14ac:dyDescent="0.3">
      <c r="C14" s="23"/>
      <c r="D14" s="23"/>
      <c r="I14" s="8" t="s">
        <v>149</v>
      </c>
      <c r="J14" t="s">
        <v>7</v>
      </c>
      <c r="K14" t="s">
        <v>168</v>
      </c>
      <c r="L14" t="s">
        <v>148</v>
      </c>
      <c r="M14" t="s">
        <v>150</v>
      </c>
      <c r="N14" t="s">
        <v>151</v>
      </c>
      <c r="P14" s="15"/>
      <c r="Q14" s="15"/>
    </row>
    <row r="15" spans="1:23" x14ac:dyDescent="0.3">
      <c r="I15">
        <f>ROW()-ROW(NewServers[[#Headers],[server number]])</f>
        <v>1</v>
      </c>
      <c r="J15" s="23"/>
      <c r="K15" s="23"/>
      <c r="L15" s="26">
        <f>SUMIFS(SQL_Servers[nameplate], SQL_Servers[model], NewServers[[#This Row],[model]], SQL_Servers[model_number], NewServers[[#This Row],[model number]])</f>
        <v>0</v>
      </c>
      <c r="M15" s="26">
        <f>SUMIFS(SQL_Servers[enclosures], SQL_Servers[model], NewServers[[#This Row],[model]], SQL_Servers[model_number], NewServers[[#This Row],[model number]])</f>
        <v>0</v>
      </c>
      <c r="N15" s="26">
        <f>SUMIFS(SQL_Servers[plus_one], SQL_Servers[model], NewServers[[#This Row],[model]], SQL_Servers[model_number], NewServers[[#This Row],[model number]])</f>
        <v>0</v>
      </c>
    </row>
    <row r="16" spans="1:23" x14ac:dyDescent="0.3">
      <c r="I16" t="s">
        <v>152</v>
      </c>
      <c r="L16" s="13">
        <f>SUM(NewServers[nameplate])</f>
        <v>0</v>
      </c>
    </row>
    <row r="18" spans="1:20" x14ac:dyDescent="0.3">
      <c r="I18" s="14"/>
    </row>
    <row r="19" spans="1:20" x14ac:dyDescent="0.3">
      <c r="I19" s="14"/>
    </row>
    <row r="20" spans="1:20" x14ac:dyDescent="0.3">
      <c r="I20" s="14"/>
    </row>
    <row r="29" spans="1:20" x14ac:dyDescent="0.3">
      <c r="M29" s="7"/>
    </row>
    <row r="31" spans="1:20" x14ac:dyDescent="0.3">
      <c r="A31" s="7"/>
      <c r="E31" s="7"/>
      <c r="F31" s="7"/>
      <c r="G31" s="7"/>
      <c r="H31" s="7"/>
      <c r="O31" s="7"/>
      <c r="T31" s="7"/>
    </row>
  </sheetData>
  <sheetProtection sheet="1" objects="1" scenarios="1" selectLockedCells="1"/>
  <conditionalFormatting sqref="J9 J11 J15:N15">
    <cfRule type="expression" dxfId="6" priority="6">
      <formula>NOT(ISBLANK(site_code))</formula>
    </cfRule>
  </conditionalFormatting>
  <conditionalFormatting sqref="C6:D6">
    <cfRule type="expression" dxfId="5" priority="2">
      <formula>ISBLANK(window)</formula>
    </cfRule>
    <cfRule type="expression" dxfId="4" priority="3">
      <formula>AND(ISBLANK(wtmo_limit),ISBLANK(weff_limit),NOT(ISBLANK(window)))</formula>
    </cfRule>
  </conditionalFormatting>
  <conditionalFormatting sqref="J4 J15:K15 J9 C11 C9">
    <cfRule type="containsBlanks" dxfId="3" priority="7">
      <formula>LEN(TRIM(C4))=0</formula>
    </cfRule>
  </conditionalFormatting>
  <conditionalFormatting sqref="J4">
    <cfRule type="expression" dxfId="2" priority="4">
      <formula>NOT(ISBLANK(start_date))</formula>
    </cfRule>
  </conditionalFormatting>
  <conditionalFormatting sqref="C5:D7">
    <cfRule type="expression" dxfId="1" priority="5">
      <formula>AND(ISBLANK(ctmo_limit),ISBLANK(ceff_limit),ISBLANK(wtmo_limit),ISBLANK(weff_limit),ISBLANK(ptmo_limit),ISBLANK(peff_limit))</formula>
    </cfRule>
  </conditionalFormatting>
  <conditionalFormatting sqref="P6:R6">
    <cfRule type="expression" dxfId="0" priority="8">
      <formula>AND(COUNTIFS($P$6:$R$6,"*?"),ISBLANK(P6))</formula>
    </cfRule>
  </conditionalFormatting>
  <dataValidations count="8">
    <dataValidation type="list" allowBlank="1" showInputMessage="1" showErrorMessage="1" sqref="J15">
      <formula1>servers_dropdown_1_model</formula1>
    </dataValidation>
    <dataValidation type="list" allowBlank="1" showInputMessage="1" showErrorMessage="1" sqref="C9">
      <formula1>"CapEx, PPA"</formula1>
    </dataValidation>
    <dataValidation type="list" allowBlank="1" showInputMessage="1" showErrorMessage="1" sqref="P6">
      <formula1>modules_dropdown_1_model</formula1>
    </dataValidation>
    <dataValidation type="list" allowBlank="1" showInputMessage="1" showErrorMessage="1" sqref="J4">
      <formula1>sites_dropdown</formula1>
    </dataValidation>
    <dataValidation type="list" allowBlank="1" showInputMessage="1" showErrorMessage="1" sqref="K15">
      <formula1>OFFSET(servers_dropdown_2_model_number,MATCH($J15,servers_dropdown_2_model,0)-1,0,COUNTIFS(servers_dropdown_2_model,$J15),1)</formula1>
    </dataValidation>
    <dataValidation type="list" allowBlank="1" showInputMessage="1" showErrorMessage="1" sqref="E6">
      <formula1>"1,2,3,4,5,6,7,8,9,10,11,12"</formula1>
    </dataValidation>
    <dataValidation type="list" allowBlank="1" showInputMessage="1" showErrorMessage="1" sqref="Q6">
      <formula1>OFFSET(modules_dropdown_2_mark,MATCH($P6,modules_dropdown_2_model,0)-1,0,COUNTIFS(modules_dropdown_2_model,$P6),1)</formula1>
    </dataValidation>
    <dataValidation type="list" allowBlank="1" showInputMessage="1" showErrorMessage="1" sqref="R6">
      <formula1>OFFSET(modules_dropdown_3_model_number,MATCH(1,INDEX((modules_dropdown_3_model=$P6)*(modules_dropdown_3_mark=$Q6),0,1),0)-1,0,COUNTIFS(modules_dropdown_3_model,$P6,modules_dropdown_3_mark,$Q6),1)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defaultSize="0" autoFill="0" autoLine="0" autoPict="0">
                <anchor moveWithCells="1">
                  <from>
                    <xdr:col>20</xdr:col>
                    <xdr:colOff>182880</xdr:colOff>
                    <xdr:row>3</xdr:row>
                    <xdr:rowOff>0</xdr:rowOff>
                  </from>
                  <to>
                    <xdr:col>22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defaultSize="0" autoFill="0" autoLine="0" autoPict="0">
                <anchor moveWithCells="1">
                  <from>
                    <xdr:col>20</xdr:col>
                    <xdr:colOff>182880</xdr:colOff>
                    <xdr:row>4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Check Box 3">
              <controlPr defaultSize="0" autoFill="0" autoLine="0" autoPict="0">
                <anchor moveWithCells="1">
                  <from>
                    <xdr:col>20</xdr:col>
                    <xdr:colOff>182880</xdr:colOff>
                    <xdr:row>5</xdr:row>
                    <xdr:rowOff>0</xdr:rowOff>
                  </from>
                  <to>
                    <xdr:col>22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Check Box 4">
              <controlPr defaultSize="0" autoFill="0" autoLine="0" autoPict="0">
                <anchor moveWithCells="1">
                  <from>
                    <xdr:col>20</xdr:col>
                    <xdr:colOff>182880</xdr:colOff>
                    <xdr:row>7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Check Box 5">
              <controlPr defaultSize="0" autoFill="0" autoLine="0" autoPict="0">
                <anchor moveWithCells="1">
                  <from>
                    <xdr:col>20</xdr:col>
                    <xdr:colOff>182880</xdr:colOff>
                    <xdr:row>6</xdr:row>
                    <xdr:rowOff>0</xdr:rowOff>
                  </from>
                  <to>
                    <xdr:col>22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9" name="Button 25">
              <controlPr defaultSize="0" print="0" autoFill="0" autoPict="0" macro="[0]!Scenario.Remove_Server">
                <anchor moveWithCells="1" sizeWithCells="1">
                  <from>
                    <xdr:col>7</xdr:col>
                    <xdr:colOff>60960</xdr:colOff>
                    <xdr:row>14</xdr:row>
                    <xdr:rowOff>175260</xdr:rowOff>
                  </from>
                  <to>
                    <xdr:col>7</xdr:col>
                    <xdr:colOff>259080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10" name="Button 30">
              <controlPr defaultSize="0" print="0" autoFill="0" autoPict="0" macro="[0]!Scenario.Add_Server">
                <anchor moveWithCells="1" sizeWithCells="1">
                  <from>
                    <xdr:col>7</xdr:col>
                    <xdr:colOff>60960</xdr:colOff>
                    <xdr:row>14</xdr:row>
                    <xdr:rowOff>0</xdr:rowOff>
                  </from>
                  <to>
                    <xdr:col>7</xdr:col>
                    <xdr:colOff>259080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11" name="Button 37">
              <controlPr defaultSize="0" print="0" autoFill="0" autoPict="0" macro="[0]!Scenario.Remove_Roadmap">
                <anchor moveWithCells="1" sizeWithCells="1">
                  <from>
                    <xdr:col>14</xdr:col>
                    <xdr:colOff>60960</xdr:colOff>
                    <xdr:row>6</xdr:row>
                    <xdr:rowOff>7620</xdr:rowOff>
                  </from>
                  <to>
                    <xdr:col>14</xdr:col>
                    <xdr:colOff>259080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12" name="Button 38">
              <controlPr defaultSize="0" print="0" autoFill="0" autoPict="0" macro="[0]!Scenario.Add_Roadmap">
                <anchor moveWithCells="1" sizeWithCells="1">
                  <from>
                    <xdr:col>14</xdr:col>
                    <xdr:colOff>60960</xdr:colOff>
                    <xdr:row>5</xdr:row>
                    <xdr:rowOff>7620</xdr:rowOff>
                  </from>
                  <to>
                    <xdr:col>14</xdr:col>
                    <xdr:colOff>259080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13" name="Button 39">
              <controlPr defaultSize="0" print="0" autoFill="0" autoPict="0" macro="[0]!Scenario.Remove_Nonreplace">
                <anchor moveWithCells="1" sizeWithCells="1">
                  <from>
                    <xdr:col>1</xdr:col>
                    <xdr:colOff>1028700</xdr:colOff>
                    <xdr:row>14</xdr:row>
                    <xdr:rowOff>0</xdr:rowOff>
                  </from>
                  <to>
                    <xdr:col>1</xdr:col>
                    <xdr:colOff>1226820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14" name="Button 40">
              <controlPr defaultSize="0" print="0" autoFill="0" autoPict="0" macro="[0]!Scenario.Add_Nonreplace">
                <anchor moveWithCells="1" sizeWithCells="1">
                  <from>
                    <xdr:col>1</xdr:col>
                    <xdr:colOff>1028700</xdr:colOff>
                    <xdr:row>13</xdr:row>
                    <xdr:rowOff>0</xdr:rowOff>
                  </from>
                  <to>
                    <xdr:col>1</xdr:col>
                    <xdr:colOff>1226820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15" name="Button 46">
              <controlPr defaultSize="0" print="0" autoFill="0" autoPict="0" macro="[0]!Scenario.Delete_Scenario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220980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16"/>
    <tablePart r:id="rId17"/>
    <tablePart r:id="rId1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86607A-E859-4E43-BE4C-38864CFB98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30</vt:i4>
      </vt:variant>
    </vt:vector>
  </HeadingPairs>
  <TitlesOfParts>
    <vt:vector size="33" baseType="lpstr">
      <vt:lpstr>⚙</vt:lpstr>
      <vt:lpstr>📚</vt:lpstr>
      <vt:lpstr>📃</vt:lpstr>
      <vt:lpstr>'📃'!allow_early_deploy</vt:lpstr>
      <vt:lpstr>'📃'!allow_redeploy</vt:lpstr>
      <vt:lpstr>'📃'!allow_repairs</vt:lpstr>
      <vt:lpstr>'📃'!ceff_limit</vt:lpstr>
      <vt:lpstr>'📃'!contract_length</vt:lpstr>
      <vt:lpstr>'📃'!ctmo_limit</vt:lpstr>
      <vt:lpstr>'📃'!eoc_replacements</vt:lpstr>
      <vt:lpstr>modules_dropdown_1_model</vt:lpstr>
      <vt:lpstr>modules_dropdown_2_mark</vt:lpstr>
      <vt:lpstr>modules_dropdown_2_model</vt:lpstr>
      <vt:lpstr>modules_dropdown_3_mark</vt:lpstr>
      <vt:lpstr>modules_dropdown_3_model</vt:lpstr>
      <vt:lpstr>modules_dropdown_3_model_number</vt:lpstr>
      <vt:lpstr>'📃'!multiplier</vt:lpstr>
      <vt:lpstr>'⚙'!n_runs</vt:lpstr>
      <vt:lpstr>'⚙'!n_sites</vt:lpstr>
      <vt:lpstr>'⚙'!n_years</vt:lpstr>
      <vt:lpstr>'📃'!peff_limit</vt:lpstr>
      <vt:lpstr>'📃'!ptmo_limit</vt:lpstr>
      <vt:lpstr>servers_dropdown_1_model</vt:lpstr>
      <vt:lpstr>servers_dropdown_2_model</vt:lpstr>
      <vt:lpstr>servers_dropdown_2_model_number</vt:lpstr>
      <vt:lpstr>'📃'!site_code</vt:lpstr>
      <vt:lpstr>sites_dropdown</vt:lpstr>
      <vt:lpstr>'📃'!start_date</vt:lpstr>
      <vt:lpstr>'📃'!target_size</vt:lpstr>
      <vt:lpstr>'📃'!use_best_only</vt:lpstr>
      <vt:lpstr>'📃'!weff_limit</vt:lpstr>
      <vt:lpstr>'📃'!window</vt:lpstr>
      <vt:lpstr>'📃'!wtmo_limit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2019-10-23T18:14:43Z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3d8df67f-b9a2-487c-b0f4-da6c1c184d9b</vt:lpwstr>
  </property>
  <property fmtid="{D5CDD505-2E9C-101B-9397-08002B2CF9AE}" pid="3" name="ConnectionInfosStorage">
    <vt:lpwstr>WorkbookXmlParts</vt:lpwstr>
  </property>
</Properties>
</file>