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f181029\source\repos\Mobunni\projects\"/>
    </mc:Choice>
  </mc:AlternateContent>
  <bookViews>
    <workbookView xWindow="0" yWindow="0" windowWidth="18876" windowHeight="5376" activeTab="2"/>
  </bookViews>
  <sheets>
    <sheet name="⚙" sheetId="2" r:id="rId1"/>
    <sheet name="📚" sheetId="63" state="hidden" r:id="rId2"/>
    <sheet name="📃" sheetId="84" r:id="rId3"/>
  </sheets>
  <functionGroups builtInGroupCount="18"/>
  <definedNames>
    <definedName name="_xlcn.WorksheetConnection_bpm_inputs_template.xlsxSQL_Servers1" hidden="1">SQL_Servers[]</definedName>
    <definedName name="allow_early_deploy" localSheetId="2">'📃'!$V$7</definedName>
    <definedName name="allow_redeploy" localSheetId="2">'📃'!$V$5</definedName>
    <definedName name="allow_repairs" localSheetId="2">'📃'!$V$4</definedName>
    <definedName name="ceff_limit" localSheetId="2">'📃'!$D$5</definedName>
    <definedName name="contract_deal" localSheetId="2">'📃'!$D$9</definedName>
    <definedName name="contract_length" localSheetId="2">'📃'!$C$11</definedName>
    <definedName name="contracts_dropdown">Contracts[types]</definedName>
    <definedName name="ctmo_limit" localSheetId="2">'📃'!$C$5</definedName>
    <definedName name="eoc_replacements" localSheetId="2">'📃'!$V$8</definedName>
    <definedName name="ExternalData_1" localSheetId="1" hidden="1">'📚'!$M$3:$M$6</definedName>
    <definedName name="ExternalData_2" localSheetId="1" hidden="1">'📚'!$Y$3:$Y$8</definedName>
    <definedName name="ExternalData_3" localSheetId="1" hidden="1">'📚'!$O$3:$P$135</definedName>
    <definedName name="ExternalData_4" localSheetId="1" hidden="1">'📚'!$AA$3:$AB$16</definedName>
    <definedName name="ExternalData_5" localSheetId="1" hidden="1">'📚'!$AD$3:$AF$37</definedName>
    <definedName name="ExternalData_6" localSheetId="1" hidden="1">'📚'!$AH$3:$AH$667</definedName>
    <definedName name="main" localSheetId="1" hidden="1">'📚'!$F$3:$K$135</definedName>
    <definedName name="main_1" localSheetId="1" hidden="1">'📚'!$R$3:$W$37</definedName>
    <definedName name="main_2" localSheetId="1" hidden="1">'📚'!#REF!</definedName>
    <definedName name="mobunni_apc" localSheetId="1" hidden="1">'📚'!$AJ$3:$AM$667</definedName>
    <definedName name="modules_dropdown_1_model">SQL_Modules_1[model]</definedName>
    <definedName name="modules_dropdown_2_mark">SQL_Modules_2[mark]</definedName>
    <definedName name="modules_dropdown_2_model">SQL_Modules_2[model]</definedName>
    <definedName name="modules_dropdown_3_mark">SQL_Modules_3[mark]</definedName>
    <definedName name="modules_dropdown_3_model">SQL_Modules_3[model]</definedName>
    <definedName name="modules_dropdown_3_model_number">SQL_Modules_3[model_number]</definedName>
    <definedName name="multiplier" localSheetId="2">'📃'!$M$11</definedName>
    <definedName name="n_runs" localSheetId="0">'⚙'!$C$8</definedName>
    <definedName name="n_sites" localSheetId="0">'⚙'!$C$4</definedName>
    <definedName name="n_years" localSheetId="0">'⚙'!$C$6</definedName>
    <definedName name="new_models">NewServers[model]</definedName>
    <definedName name="peff_limit" localSheetId="2">'📃'!$D$7</definedName>
    <definedName name="ptmo_limit" localSheetId="2">'📃'!$C$7</definedName>
    <definedName name="servers_dropdown_1_model">SQL_Servers_0[model]</definedName>
    <definedName name="servers_dropdown_2_model">SQL_Servers_2[model]</definedName>
    <definedName name="servers_dropdown_2_model_number">SQL_Servers_2[model_number]</definedName>
    <definedName name="site_code" localSheetId="2">'📃'!$J$4</definedName>
    <definedName name="sites_dropdown">SQL_Sites_1[id]</definedName>
    <definedName name="SQL_Servers_1" localSheetId="1" hidden="1">'📚'!#REF!</definedName>
    <definedName name="start_date" localSheetId="2">'📃'!$J$9</definedName>
    <definedName name="target_size" localSheetId="2">'📃'!$J$11</definedName>
    <definedName name="use_best_only" localSheetId="2">'📃'!$V$6</definedName>
    <definedName name="weff_limit" localSheetId="2">'📃'!$D$6</definedName>
    <definedName name="window" localSheetId="2">'📃'!$E$6</definedName>
    <definedName name="wtmo_limit" localSheetId="2">'📃'!$C$6</definedName>
    <definedName name="xl_date" localSheetId="2">'📃'!$I$9</definedName>
    <definedName name="xl_deal" localSheetId="2">'📃'!$C$9</definedName>
    <definedName name="xl_months" localSheetId="2">'📃'!$I$10</definedName>
    <definedName name="years_dropdown">Years[n]</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QL_Servers" name="SQL_Servers" connection="WorksheetConnection_bpm_inputs_template.xlsx!SQL_Servers"/>
        </x15:modelTables>
      </x15:dataModel>
    </ext>
  </extLst>
</workbook>
</file>

<file path=xl/calcChain.xml><?xml version="1.0" encoding="utf-8"?>
<calcChain xmlns="http://schemas.openxmlformats.org/spreadsheetml/2006/main">
  <c r="B5" i="63" l="1"/>
  <c r="B6" i="63"/>
  <c r="B7" i="63"/>
  <c r="B8" i="63"/>
  <c r="B9" i="63"/>
  <c r="B10" i="63"/>
  <c r="B11" i="63"/>
  <c r="B12" i="63"/>
  <c r="B13" i="63"/>
  <c r="B14" i="63"/>
  <c r="B15" i="63"/>
  <c r="B16" i="63"/>
  <c r="B17" i="63"/>
  <c r="B18" i="63"/>
  <c r="B19" i="63"/>
  <c r="B20" i="63"/>
  <c r="B21" i="63"/>
  <c r="B22" i="63"/>
  <c r="B23" i="63"/>
  <c r="B24" i="63"/>
  <c r="B25" i="63"/>
  <c r="B26" i="63"/>
  <c r="B27" i="63"/>
  <c r="B28" i="63"/>
  <c r="B29" i="63"/>
  <c r="B30" i="63"/>
  <c r="B31" i="63"/>
  <c r="B32" i="63"/>
  <c r="B33" i="63"/>
  <c r="B4" i="63"/>
  <c r="D9" i="84" l="1" a="1"/>
  <c r="D9" i="84" s="1"/>
  <c r="J9" i="84"/>
  <c r="K4" i="84" l="1"/>
  <c r="N15" i="84" l="1"/>
  <c r="M15" i="84"/>
  <c r="L15" i="84"/>
  <c r="M11" i="84" s="1"/>
  <c r="S6" i="84"/>
  <c r="L16" i="84" l="1"/>
  <c r="I15" i="84"/>
</calcChain>
</file>

<file path=xl/comments1.xml><?xml version="1.0" encoding="utf-8"?>
<comments xmlns="http://schemas.openxmlformats.org/spreadsheetml/2006/main">
  <authors>
    <author>Michael Franzonello</author>
  </authors>
  <commentList>
    <comment ref="B2" authorId="0" shapeId="0">
      <text>
        <r>
          <rPr>
            <sz val="9"/>
            <color indexed="81"/>
            <rFont val="Tahoma"/>
            <family val="2"/>
          </rPr>
          <t>Fine tuning of simulations, common across included project scenarios.</t>
        </r>
      </text>
    </comment>
    <comment ref="B4" authorId="0" shapeId="0">
      <text>
        <r>
          <rPr>
            <sz val="9"/>
            <color indexed="81"/>
            <rFont val="Tahoma"/>
            <family val="2"/>
          </rPr>
          <t>More sites alllows for a better depiction of how the actual fleet will perform, including overhauls and redploys, but greatly adds to simulation time.</t>
        </r>
      </text>
    </comment>
    <comment ref="I4" authorId="0" shapeId="0">
      <text>
        <r>
          <rPr>
            <sz val="9"/>
            <color indexed="81"/>
            <rFont val="Tahoma"/>
            <family val="2"/>
          </rPr>
          <t>Click this button to add a new scenario. The simulator will run all scenarios included in this file.</t>
        </r>
      </text>
    </comment>
    <comment ref="B6" authorId="0" shapeId="0">
      <text>
        <r>
          <rPr>
            <sz val="9"/>
            <color indexed="81"/>
            <rFont val="Tahoma"/>
            <family val="2"/>
          </rPr>
          <t>Number of years over which to install fleet.
The long this span, the more likely there could be FRUs in the field available to redeploy. The target site is randomly installed during this period (anchored at its contracted start date).
If the fleet only has one site, then this number isn't used.
A longer span gives more accuracy but takes more time to run.</t>
        </r>
      </text>
    </comment>
    <comment ref="B8" authorId="0" shapeId="0">
      <text>
        <r>
          <rPr>
            <sz val="9"/>
            <color indexed="81"/>
            <rFont val="Tahoma"/>
            <family val="2"/>
          </rPr>
          <t>Number of random simulations to run before averaging.
More simulations leads to greater accuracy, but take longer to run. This is fairly linear.</t>
        </r>
      </text>
    </comment>
  </commentList>
</comments>
</file>

<file path=xl/comments2.xml><?xml version="1.0" encoding="utf-8"?>
<comments xmlns="http://schemas.openxmlformats.org/spreadsheetml/2006/main">
  <authors>
    <author>Michael Franzonello</author>
  </authors>
  <commentList>
    <comment ref="C4" authorId="0" shapeId="0">
      <text>
        <r>
          <rPr>
            <sz val="9"/>
            <color indexed="81"/>
            <rFont val="Tahoma"/>
            <family val="2"/>
          </rPr>
          <t>total monthy power output</t>
        </r>
      </text>
    </comment>
  </commentList>
</comments>
</file>

<file path=xl/connections.xml><?xml version="1.0" encoding="utf-8"?>
<connections xmlns="http://schemas.openxmlformats.org/spreadsheetml/2006/main">
  <connection id="1" odcFile="\\Denali\Departments\Marketing\Product_Management\Service Costs\mobunni.odc" name="Mobunni APC" description="APC table of service cost DB" type="1" refreshedVersion="6" background="1" saveData="1">
    <dbPr connection="DSN=SQLite3 Datasource;Database=\\Denali\Departments\Marketing\Product_Management\Service Costs\mobunni.db;StepAPI=0;SyncPragma=NORMAL;NoTXN=0;Timeout=100000;ShortNames=0;LongNames=0;NoCreat=0;NoWCHAR=0;FKSupport=0;JournalMode=;OEMCP=0;LoadExt=;BigInt=0;JDConv=0;" command="SELECT * FROM &quot;main&quot;.&quot;APC&quot;"/>
  </connection>
  <connection id="2" odcFile="\\Denali\Departments\Marketing\Product_Management\Service Costs\mobunni.odc" name="Mobunni Module" description="Module table of service cost DB" type="1" refreshedVersion="6" background="1" saveData="1">
    <dbPr connection="DSN=SQLite3 Datasource;Database=\\Denali\Departments\Marketing\Product_Management\Service Costs\mobunni.db;StepAPI=0;SyncPragma=NORMAL;NoTXN=0;Timeout=100000;ShortNames=0;LongNames=0;NoCreat=0;NoWCHAR=0;FKSupport=0;JournalMode=;OEMCP=0;LoadExt=;BigInt=0;JDConv=0;" command="SELECT * FROM &quot;main&quot;.&quot;Module&quot;"/>
  </connection>
  <connection id="3" odcFile="\\Denali\Departments\Marketing\Product_Management\Service Costs\mobunni.odc" name="Mobunni Server" description="Server table of service cost DB" type="1" refreshedVersion="6" background="1" saveData="1">
    <dbPr connection="DSN=SQLite3 Datasource;Database=\\Denali\Departments\Marketing\Product_Management\Service Costs\mobunni.db;StepAPI=0;SyncPragma=NORMAL;NoTXN=0;Timeout=100000;ShortNames=0;LongNames=0;NoCreat=0;NoWCHAR=0;FKSupport=0;JournalMode=;OEMCP=0;LoadExt=;BigInt=0;JDConv=0;" command="SELECT * FROM &quot;main&quot;.&quot;Server&quot;"/>
  </connection>
  <connection id="4" keepAlive="1" name="Query - SQL_Modules_1" description="Connection to the 'SQL_Modules_1' query in the workbook." type="5" refreshedVersion="6" background="1" saveData="1">
    <dbPr connection="Provider=Microsoft.Mashup.OleDb.1;Data Source=$Workbook$;Location=SQL_Modules_1;Extended Properties=&quot;&quot;" command="SELECT * FROM [SQL_Modules_1]"/>
  </connection>
  <connection id="5" keepAlive="1" name="Query - SQL_Modules_2" description="Connection to the 'SQL_Modules_2' query in the workbook." type="5" refreshedVersion="6" background="1" saveData="1">
    <dbPr connection="Provider=Microsoft.Mashup.OleDb.1;Data Source=$Workbook$;Location=SQL_Modules_2;Extended Properties=&quot;&quot;" command="SELECT * FROM [SQL_Modules_2]"/>
  </connection>
  <connection id="6" keepAlive="1" name="Query - SQL_Modules_3" description="Connection to the 'SQL_Modules_3' query in the workbook." type="5" refreshedVersion="6" background="1" saveData="1">
    <dbPr connection="Provider=Microsoft.Mashup.OleDb.1;Data Source=$Workbook$;Location=SQL_Modules_3;Extended Properties=&quot;&quot;" command="SELECT * FROM [SQL_Modules_3]"/>
  </connection>
  <connection id="7" keepAlive="1" name="Query - SQL_Servers_1" description="Connection to the 'SQL_Servers_1' query in the workbook." type="5" refreshedVersion="6" background="1" saveData="1">
    <dbPr connection="Provider=Microsoft.Mashup.OleDb.1;Data Source=$Workbook$;Location=SQL_Servers_1;Extended Properties=&quot;&quot;" command="SELECT * FROM [SQL_Servers_1]"/>
  </connection>
  <connection id="8" keepAlive="1" name="Query - SQL_Servers_2" description="Connection to the 'SQL_Servers_2' query in the workbook." type="5" refreshedVersion="6" background="1" saveData="1">
    <dbPr connection="Provider=Microsoft.Mashup.OleDb.1;Data Source=$Workbook$;Location=SQL_Servers_2;Extended Properties=&quot;&quot;" command="SELECT * FROM [SQL_Servers_2]"/>
  </connection>
  <connection id="9" keepAlive="1" name="Query - SQL_Sites_1" description="Connection to the 'SQL_Sites_1' query in the workbook." type="5" refreshedVersion="6" background="1" saveData="1">
    <dbPr connection="Provider=Microsoft.Mashup.OleDb.1;Data Source=$Workbook$;Location=SQL_Sites_1;Extended Properties=&quot;&quot;" command="SELECT * FROM [SQL_Sites_1]"/>
  </connection>
  <connection id="1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1" name="WorksheetConnection_bpm_inputs_template.xlsx!SQL_Servers" type="102" refreshedVersion="6" minRefreshableVersion="5">
    <extLst>
      <ext xmlns:x15="http://schemas.microsoft.com/office/spreadsheetml/2010/11/main" uri="{DE250136-89BD-433C-8126-D09CA5730AF9}">
        <x15:connection id="SQL_Servers">
          <x15:rangePr sourceName="_xlcn.WorksheetConnection_bpm_inputs_template.xlsxSQL_Servers1"/>
        </x15:connection>
      </ext>
    </extLst>
  </connection>
</connections>
</file>

<file path=xl/sharedStrings.xml><?xml version="1.0" encoding="utf-8"?>
<sst xmlns="http://schemas.openxmlformats.org/spreadsheetml/2006/main" count="3571" uniqueCount="1054">
  <si>
    <t>start date</t>
  </si>
  <si>
    <t>contract length</t>
  </si>
  <si>
    <t>years</t>
  </si>
  <si>
    <t>CONTRACT</t>
  </si>
  <si>
    <t>PROJECT DETAILS</t>
  </si>
  <si>
    <t>model</t>
  </si>
  <si>
    <t>mark</t>
  </si>
  <si>
    <t>Yuma</t>
  </si>
  <si>
    <t>ES5-YA1AAN</t>
  </si>
  <si>
    <t>ES5-YA8AAC</t>
  </si>
  <si>
    <t>ES5-YA8AAN</t>
  </si>
  <si>
    <t>ES5-YA1AAA</t>
  </si>
  <si>
    <t>ES5-YA8AAA</t>
  </si>
  <si>
    <t>ES5-YA8AAU</t>
  </si>
  <si>
    <t>ES5-YH8AAN</t>
  </si>
  <si>
    <t>ES5-AA2AAC</t>
  </si>
  <si>
    <t>ES5-AA2AAD</t>
  </si>
  <si>
    <t>ES5-AA2AAM</t>
  </si>
  <si>
    <t>ES5-AA2AAN</t>
  </si>
  <si>
    <t>ES5-AACAAM</t>
  </si>
  <si>
    <t>ES5-AACAAN</t>
  </si>
  <si>
    <t>ES5-EA2AAC</t>
  </si>
  <si>
    <t>ES5-EA2AAM</t>
  </si>
  <si>
    <t>ES5-EA2AAN</t>
  </si>
  <si>
    <t>ES5-EACAAN</t>
  </si>
  <si>
    <t>ES5-AA2AAA</t>
  </si>
  <si>
    <t>ES5-AA2AAB</t>
  </si>
  <si>
    <t>ES5-AA2AAU</t>
  </si>
  <si>
    <t>ES5-AACAAA</t>
  </si>
  <si>
    <t>ES5-AACAAB</t>
  </si>
  <si>
    <t>ES5-DA2AAA</t>
  </si>
  <si>
    <t>ES5-DACAAA</t>
  </si>
  <si>
    <t>ES5-EA2AAA</t>
  </si>
  <si>
    <t>ES5-EA2AAU</t>
  </si>
  <si>
    <t>ES5-EACAAA</t>
  </si>
  <si>
    <t>ES5-EHGAAN</t>
  </si>
  <si>
    <t>ES5-BABAAC</t>
  </si>
  <si>
    <t>ES5-BABAAD</t>
  </si>
  <si>
    <t>ES5-BABAAM</t>
  </si>
  <si>
    <t>ES5-BABAAN</t>
  </si>
  <si>
    <t>ES5-BADAAM</t>
  </si>
  <si>
    <t>ES5-BADAAN</t>
  </si>
  <si>
    <t>ES5-FABAAM</t>
  </si>
  <si>
    <t>ES5-FABAAN</t>
  </si>
  <si>
    <t>ES5-FADAAM</t>
  </si>
  <si>
    <t>ES5-FADAAN</t>
  </si>
  <si>
    <t>ES5-BABAAA</t>
  </si>
  <si>
    <t>ES5-BABAAB</t>
  </si>
  <si>
    <t>ES5-BABAAU</t>
  </si>
  <si>
    <t>ES5-BADAAA</t>
  </si>
  <si>
    <t>ES5-BADAAB</t>
  </si>
  <si>
    <t>ES5-FABAAA</t>
  </si>
  <si>
    <t>ES5-FABAAB</t>
  </si>
  <si>
    <t>ES5-FABAAU</t>
  </si>
  <si>
    <t>ES5-FADAAA</t>
  </si>
  <si>
    <t>ES5-FADAAB</t>
  </si>
  <si>
    <t>ES5-LABAJC</t>
  </si>
  <si>
    <t>ES5-FBDAAN</t>
  </si>
  <si>
    <t>ES5-FABAAC</t>
  </si>
  <si>
    <t>ES5-UABAAB</t>
  </si>
  <si>
    <t>ES5-UABAAM</t>
  </si>
  <si>
    <t>ES5-MA3AAM</t>
  </si>
  <si>
    <t>ES5-VA3AAM</t>
  </si>
  <si>
    <t>ES5-VA4AAM</t>
  </si>
  <si>
    <t>ES5-MA4AAM</t>
  </si>
  <si>
    <t>ES5-MB4AAN</t>
  </si>
  <si>
    <t>ES5-RA4AAM</t>
  </si>
  <si>
    <t>ES5-MA4AAA</t>
  </si>
  <si>
    <t>ES5-MA4AAB</t>
  </si>
  <si>
    <t>ES5-MA4AAN</t>
  </si>
  <si>
    <t>ES5-CA4AAC</t>
  </si>
  <si>
    <t>ES5-CA4AAM</t>
  </si>
  <si>
    <t>ES5-CA4AAN</t>
  </si>
  <si>
    <t>ES5-CA4AAA</t>
  </si>
  <si>
    <t>ES5-CA4AAB</t>
  </si>
  <si>
    <t>ES5-CA4AAU</t>
  </si>
  <si>
    <t>ES5-GA5AAM</t>
  </si>
  <si>
    <t>ES5-SA5AAM</t>
  </si>
  <si>
    <t>ES5-GA5AAA</t>
  </si>
  <si>
    <t>ES5-GA5AAB</t>
  </si>
  <si>
    <t>ES5-TUMAA0</t>
  </si>
  <si>
    <t>ES5-AA2AA0</t>
  </si>
  <si>
    <t>ES5-BABAA0</t>
  </si>
  <si>
    <t>ES5-NBEAAB</t>
  </si>
  <si>
    <t>ES5-QAEAAM</t>
  </si>
  <si>
    <t>ES5-KA8AIA</t>
  </si>
  <si>
    <t>ES5-KA8AIU</t>
  </si>
  <si>
    <t>ES5-JA2AIA</t>
  </si>
  <si>
    <t>ES5-JA2AIU</t>
  </si>
  <si>
    <t>ES5-LABAIA</t>
  </si>
  <si>
    <t>ES5-LABAIU</t>
  </si>
  <si>
    <t>ES5-KA8AJA</t>
  </si>
  <si>
    <t>ES5-KA8AJU</t>
  </si>
  <si>
    <t>ES5-YA8AJA</t>
  </si>
  <si>
    <t>ES5-YA8AJU</t>
  </si>
  <si>
    <t>ES5-EA2AJA</t>
  </si>
  <si>
    <t>ES5-EA2AJU</t>
  </si>
  <si>
    <t>ES5-JA2AJA</t>
  </si>
  <si>
    <t>ES5-PA2AJU</t>
  </si>
  <si>
    <t>ES5-JA2AJU</t>
  </si>
  <si>
    <t>ES5-FABAJA</t>
  </si>
  <si>
    <t>ES5-FABAJB</t>
  </si>
  <si>
    <t>ES5-FABAJU</t>
  </si>
  <si>
    <t>ES5-LABAJA</t>
  </si>
  <si>
    <t>ES5-LABAJB</t>
  </si>
  <si>
    <t>ES5-LABAJU</t>
  </si>
  <si>
    <t>ES5-YA8AKA</t>
  </si>
  <si>
    <t>ES5-EA2AKA</t>
  </si>
  <si>
    <t>ES5-KA1AHA</t>
  </si>
  <si>
    <t>ES5-KA8AHA</t>
  </si>
  <si>
    <t>ES5-JA2AHA</t>
  </si>
  <si>
    <t>Catalina</t>
  </si>
  <si>
    <t>ES-5711</t>
  </si>
  <si>
    <t>ES-5710</t>
  </si>
  <si>
    <t>ES-5710-E</t>
  </si>
  <si>
    <t>ES-5700</t>
  </si>
  <si>
    <t>ES-5700-B</t>
  </si>
  <si>
    <t>ES-5700-C</t>
  </si>
  <si>
    <t>ES-5700-E</t>
  </si>
  <si>
    <t>ES-5700-F</t>
  </si>
  <si>
    <t>ES-5700-H</t>
  </si>
  <si>
    <t>ES-5700-J-50</t>
  </si>
  <si>
    <t>ES-5700-J-60</t>
  </si>
  <si>
    <t>ES-5700-M</t>
  </si>
  <si>
    <t>ES-5710-F</t>
  </si>
  <si>
    <t>ES-5710-M</t>
  </si>
  <si>
    <t>ES-5411</t>
  </si>
  <si>
    <t>ES-5410</t>
  </si>
  <si>
    <t>ES-5400</t>
  </si>
  <si>
    <t>ES-5400-B</t>
  </si>
  <si>
    <t>ES-5400-C</t>
  </si>
  <si>
    <t>ES-5400-M</t>
  </si>
  <si>
    <t>Keeylocko</t>
  </si>
  <si>
    <t>ES75-30041</t>
  </si>
  <si>
    <t>ES75-30040</t>
  </si>
  <si>
    <t>ES75-22531</t>
  </si>
  <si>
    <t>ES75-22530</t>
  </si>
  <si>
    <t>ES75-15021</t>
  </si>
  <si>
    <t>ES75-15020</t>
  </si>
  <si>
    <t>rating</t>
  </si>
  <si>
    <t>I</t>
  </si>
  <si>
    <t>EXISTING SITE</t>
  </si>
  <si>
    <t>site code</t>
  </si>
  <si>
    <t>II</t>
  </si>
  <si>
    <t>Gen3</t>
  </si>
  <si>
    <t>Gen4</t>
  </si>
  <si>
    <t>nameplate</t>
  </si>
  <si>
    <t>server number</t>
  </si>
  <si>
    <t>filled</t>
  </si>
  <si>
    <t>empty</t>
  </si>
  <si>
    <t>total</t>
  </si>
  <si>
    <t>energy servers</t>
  </si>
  <si>
    <t>power modules</t>
  </si>
  <si>
    <t>NEW SITE</t>
  </si>
  <si>
    <t>TWEAKS</t>
  </si>
  <si>
    <t>start</t>
  </si>
  <si>
    <t>end</t>
  </si>
  <si>
    <t>non-replacing years</t>
  </si>
  <si>
    <t>ES-5711X</t>
  </si>
  <si>
    <t>ES-5711XX</t>
  </si>
  <si>
    <t>cumulative guarantee</t>
  </si>
  <si>
    <t>windowed guarantee</t>
  </si>
  <si>
    <t>periodic warranty</t>
  </si>
  <si>
    <t>TMO</t>
  </si>
  <si>
    <t>efficiency</t>
  </si>
  <si>
    <t>TECHNOLOGY</t>
  </si>
  <si>
    <t>model number</t>
  </si>
  <si>
    <t>contract financing</t>
  </si>
  <si>
    <t>target size</t>
  </si>
  <si>
    <t>multiplier</t>
  </si>
  <si>
    <t>kw</t>
  </si>
  <si>
    <t>model_number</t>
  </si>
  <si>
    <t>enclosures</t>
  </si>
  <si>
    <t>plus_one</t>
  </si>
  <si>
    <t>standard</t>
  </si>
  <si>
    <t>ES-XXX</t>
  </si>
  <si>
    <t>initial_date</t>
  </si>
  <si>
    <t>stacks</t>
  </si>
  <si>
    <t>2014-01-01</t>
  </si>
  <si>
    <t>8,6</t>
  </si>
  <si>
    <t>I_old</t>
  </si>
  <si>
    <t>2016-01-01</t>
  </si>
  <si>
    <t>8</t>
  </si>
  <si>
    <t>2020-01-01</t>
  </si>
  <si>
    <t>II_old</t>
  </si>
  <si>
    <t>2021-01-01</t>
  </si>
  <si>
    <t>III</t>
  </si>
  <si>
    <t>III_old</t>
  </si>
  <si>
    <t>2023-01-01</t>
  </si>
  <si>
    <t>IV</t>
  </si>
  <si>
    <t>IV_old</t>
  </si>
  <si>
    <t>2025-01-01</t>
  </si>
  <si>
    <t>V</t>
  </si>
  <si>
    <t>V_old</t>
  </si>
  <si>
    <t>2027-01-01</t>
  </si>
  <si>
    <t>VI</t>
  </si>
  <si>
    <t>VI_old</t>
  </si>
  <si>
    <t>2029-01-01</t>
  </si>
  <si>
    <t>I-ASRD6</t>
  </si>
  <si>
    <t>2024-01-01</t>
  </si>
  <si>
    <t>III-ASRD6</t>
  </si>
  <si>
    <t>IV-ASRD6</t>
  </si>
  <si>
    <t>2026-01-01</t>
  </si>
  <si>
    <t>V-ASRD6</t>
  </si>
  <si>
    <t>2028-01-01</t>
  </si>
  <si>
    <t>VI-ASRD6</t>
  </si>
  <si>
    <t>2030-01-01</t>
  </si>
  <si>
    <t>I-HPD</t>
  </si>
  <si>
    <t>I-6yr</t>
  </si>
  <si>
    <t>I-30B</t>
  </si>
  <si>
    <t>I-40B</t>
  </si>
  <si>
    <t>I-65HP</t>
  </si>
  <si>
    <t>I-5_Albert</t>
  </si>
  <si>
    <t>2015-01-01</t>
  </si>
  <si>
    <t>I-H2</t>
  </si>
  <si>
    <t>2031-01-01</t>
  </si>
  <si>
    <t>2023-06-01</t>
  </si>
  <si>
    <t>II-Pathfinder_1</t>
  </si>
  <si>
    <t>II-Pathfinder_2</t>
  </si>
  <si>
    <t>II-Pathfinder_3</t>
  </si>
  <si>
    <t>II-Pathfinder_4</t>
  </si>
  <si>
    <t>II-Pathfinder_5</t>
  </si>
  <si>
    <t>II-capped</t>
  </si>
  <si>
    <t>SQL Modules Datasheet</t>
  </si>
  <si>
    <t>...</t>
  </si>
  <si>
    <t>Servers Dropdown 1</t>
  </si>
  <si>
    <t>SQL Servers Datasheet</t>
  </si>
  <si>
    <t>Servers Dropdown 2</t>
  </si>
  <si>
    <t>Modules Dropdown 1</t>
  </si>
  <si>
    <t>Modules Dropdown 2</t>
  </si>
  <si>
    <t>Modules Dropdown 3</t>
  </si>
  <si>
    <t>id</t>
  </si>
  <si>
    <t>customer</t>
  </si>
  <si>
    <t>GLD008.0</t>
  </si>
  <si>
    <t>Gilead</t>
  </si>
  <si>
    <t>SKK002.0</t>
  </si>
  <si>
    <t>SK E&amp;C</t>
  </si>
  <si>
    <t>RED000.K</t>
  </si>
  <si>
    <t>Delmarva</t>
  </si>
  <si>
    <t>RED000.E</t>
  </si>
  <si>
    <t>KSR074.B</t>
  </si>
  <si>
    <t>Kaiser Permanente</t>
  </si>
  <si>
    <t>RED000.J</t>
  </si>
  <si>
    <t>RED000.H</t>
  </si>
  <si>
    <t>TLR001.0</t>
  </si>
  <si>
    <t>Taylor Farms</t>
  </si>
  <si>
    <t>COX002.0</t>
  </si>
  <si>
    <t>Cox Enterprises</t>
  </si>
  <si>
    <t>RMR000.0</t>
  </si>
  <si>
    <t>Ramar Foods</t>
  </si>
  <si>
    <t>KSR014.0</t>
  </si>
  <si>
    <t>RED000.G</t>
  </si>
  <si>
    <t>KSR017.0</t>
  </si>
  <si>
    <t>KSR058.0</t>
  </si>
  <si>
    <t>KSR044.0</t>
  </si>
  <si>
    <t>HDP157.0</t>
  </si>
  <si>
    <t>Home Depot</t>
  </si>
  <si>
    <t>EXN001.0</t>
  </si>
  <si>
    <t>Extreme Networks</t>
  </si>
  <si>
    <t>EXN000.0</t>
  </si>
  <si>
    <t>CTC013.0</t>
  </si>
  <si>
    <t>Costco</t>
  </si>
  <si>
    <t>TKD000.B</t>
  </si>
  <si>
    <t>Takeda</t>
  </si>
  <si>
    <t>TKD000.A</t>
  </si>
  <si>
    <t>SRK000.0</t>
  </si>
  <si>
    <t>Sharks Sports and Entertainment</t>
  </si>
  <si>
    <t>RAT000.0</t>
  </si>
  <si>
    <t>Ratkovich</t>
  </si>
  <si>
    <t>IIV000.A</t>
  </si>
  <si>
    <t>II-VI</t>
  </si>
  <si>
    <t>HDP106.0</t>
  </si>
  <si>
    <t>HDP136.0</t>
  </si>
  <si>
    <t>SCO002.0</t>
  </si>
  <si>
    <t>Southern Company</t>
  </si>
  <si>
    <t>KSE000.A</t>
  </si>
  <si>
    <t>Korea South-East Power Co</t>
  </si>
  <si>
    <t>HDP093.0</t>
  </si>
  <si>
    <t>SCU000.A</t>
  </si>
  <si>
    <t>Santa Clara Univ</t>
  </si>
  <si>
    <t>HDP044.0</t>
  </si>
  <si>
    <t>EQX011.C</t>
  </si>
  <si>
    <t>Equinix</t>
  </si>
  <si>
    <t>HDP110.0</t>
  </si>
  <si>
    <t>HDP053.0</t>
  </si>
  <si>
    <t>HDP089.0</t>
  </si>
  <si>
    <t>KSR022.0</t>
  </si>
  <si>
    <t>AGT000.0</t>
  </si>
  <si>
    <t>Agilent</t>
  </si>
  <si>
    <t>NHH003.0</t>
  </si>
  <si>
    <t>Kings County Hospital NY</t>
  </si>
  <si>
    <t>HDP145.0</t>
  </si>
  <si>
    <t>HDP050.0</t>
  </si>
  <si>
    <t>TLR000.A</t>
  </si>
  <si>
    <t>KSR060.0</t>
  </si>
  <si>
    <t>NHH005.0</t>
  </si>
  <si>
    <t>NHH004.0</t>
  </si>
  <si>
    <t>NHH002.0</t>
  </si>
  <si>
    <t>OMH000.0</t>
  </si>
  <si>
    <t>Kingsboro Psychiatric Center</t>
  </si>
  <si>
    <t>XLX001.0</t>
  </si>
  <si>
    <t>Xilinx</t>
  </si>
  <si>
    <t>GFA000.0</t>
  </si>
  <si>
    <t>Georg Fischer Harvel Division</t>
  </si>
  <si>
    <t>HDP087.0</t>
  </si>
  <si>
    <t>KSR053.0</t>
  </si>
  <si>
    <t>SDM000.0</t>
  </si>
  <si>
    <t>SUNY Downstate Medical</t>
  </si>
  <si>
    <t>HDP081.0</t>
  </si>
  <si>
    <t>NTL005.0</t>
  </si>
  <si>
    <t>Intel</t>
  </si>
  <si>
    <t>NTL002.C</t>
  </si>
  <si>
    <t>KSR028.0</t>
  </si>
  <si>
    <t>KSE000.B</t>
  </si>
  <si>
    <t>EQX011.B</t>
  </si>
  <si>
    <t>NTL004.0</t>
  </si>
  <si>
    <t>HDP166.0</t>
  </si>
  <si>
    <t>CTC012.0</t>
  </si>
  <si>
    <t>DKK000.0</t>
  </si>
  <si>
    <t>DKKK Japan - Daiichi Kigenso Kagaku Kogyo CO., LTD</t>
  </si>
  <si>
    <t>EQX015.A</t>
  </si>
  <si>
    <t>EQX014.B</t>
  </si>
  <si>
    <t>EQX014.A</t>
  </si>
  <si>
    <t>SDC000.0</t>
  </si>
  <si>
    <t>San Diego Community College District</t>
  </si>
  <si>
    <t>SRK001.0</t>
  </si>
  <si>
    <t>HDP165.0</t>
  </si>
  <si>
    <t>MDC002.B</t>
  </si>
  <si>
    <t>Medtronic</t>
  </si>
  <si>
    <t>SNM003.0</t>
  </si>
  <si>
    <t>Sanmina</t>
  </si>
  <si>
    <t>HDP142.0</t>
  </si>
  <si>
    <t>SNM001.0</t>
  </si>
  <si>
    <t>EQX001.B</t>
  </si>
  <si>
    <t>HDP078.0</t>
  </si>
  <si>
    <t>EQX013.B</t>
  </si>
  <si>
    <t>EQX009.0</t>
  </si>
  <si>
    <t>EQX002.0</t>
  </si>
  <si>
    <t>KSR023.0</t>
  </si>
  <si>
    <t>KSR059.0</t>
  </si>
  <si>
    <t>ATA007.0</t>
  </si>
  <si>
    <t>AT&amp;T</t>
  </si>
  <si>
    <t>TJX001.0</t>
  </si>
  <si>
    <t>The TJX Companies, Inc</t>
  </si>
  <si>
    <t>KSR029.0</t>
  </si>
  <si>
    <t>KSR011.0</t>
  </si>
  <si>
    <t>SMC001.0</t>
  </si>
  <si>
    <t>Super Micro Computer, Inc</t>
  </si>
  <si>
    <t>ATT087.0</t>
  </si>
  <si>
    <t>APP011.B</t>
  </si>
  <si>
    <t>Apple</t>
  </si>
  <si>
    <t>APP011.D</t>
  </si>
  <si>
    <t>KSR018.A</t>
  </si>
  <si>
    <t>HDD086.0</t>
  </si>
  <si>
    <t>ATT093.0</t>
  </si>
  <si>
    <t>MDC002.A</t>
  </si>
  <si>
    <t>KSR039.0</t>
  </si>
  <si>
    <t>KSR016.0</t>
  </si>
  <si>
    <t>HDP010.0</t>
  </si>
  <si>
    <t>HDD050.0</t>
  </si>
  <si>
    <t>FDX007.0</t>
  </si>
  <si>
    <t>FedEx</t>
  </si>
  <si>
    <t>BLD001.0</t>
  </si>
  <si>
    <t>Stanley Black &amp; Decker</t>
  </si>
  <si>
    <t>EQX008.0</t>
  </si>
  <si>
    <t>APP011.C</t>
  </si>
  <si>
    <t>ATT065.0</t>
  </si>
  <si>
    <t>ATT090.0</t>
  </si>
  <si>
    <t>APP011.A</t>
  </si>
  <si>
    <t>ATA016.0</t>
  </si>
  <si>
    <t>KSR024.0</t>
  </si>
  <si>
    <t>ATT076.0</t>
  </si>
  <si>
    <t>ATA015.0</t>
  </si>
  <si>
    <t>DSY001.0</t>
  </si>
  <si>
    <t>Disney</t>
  </si>
  <si>
    <t>KSE000.C</t>
  </si>
  <si>
    <t>ATA006.0</t>
  </si>
  <si>
    <t>KSR025.0</t>
  </si>
  <si>
    <t>HDP075.0</t>
  </si>
  <si>
    <t>EQX013.A</t>
  </si>
  <si>
    <t>ATT078.0</t>
  </si>
  <si>
    <t>ATA005.0</t>
  </si>
  <si>
    <t>HOM096.0</t>
  </si>
  <si>
    <t>MER001.0</t>
  </si>
  <si>
    <t>Macerich</t>
  </si>
  <si>
    <t>ATT086.0</t>
  </si>
  <si>
    <t>MER003.0</t>
  </si>
  <si>
    <t>HDP018.0</t>
  </si>
  <si>
    <t>ATT046.0</t>
  </si>
  <si>
    <t>ATT056.0</t>
  </si>
  <si>
    <t>ATA008.0</t>
  </si>
  <si>
    <t>ADB03</t>
  </si>
  <si>
    <t>Adobe</t>
  </si>
  <si>
    <t>ATT049.0</t>
  </si>
  <si>
    <t>HDP25</t>
  </si>
  <si>
    <t>HDD066.0</t>
  </si>
  <si>
    <t>KSR035.0</t>
  </si>
  <si>
    <t>POR000.0</t>
  </si>
  <si>
    <t>Porite</t>
  </si>
  <si>
    <t>USD000.0</t>
  </si>
  <si>
    <t>University of San Diego</t>
  </si>
  <si>
    <t>HOM085.0</t>
  </si>
  <si>
    <t>FLX000.0</t>
  </si>
  <si>
    <t>Flextronics</t>
  </si>
  <si>
    <t>IKA005.0</t>
  </si>
  <si>
    <t>IKEA</t>
  </si>
  <si>
    <t>ILM001.0</t>
  </si>
  <si>
    <t>Illumina</t>
  </si>
  <si>
    <t>HDP040.0</t>
  </si>
  <si>
    <t>SMC000.0</t>
  </si>
  <si>
    <t>HDP036.0</t>
  </si>
  <si>
    <t>RED000.F</t>
  </si>
  <si>
    <t>PHC003.0</t>
  </si>
  <si>
    <t>Prime Healthcare</t>
  </si>
  <si>
    <t>PHS010.0</t>
  </si>
  <si>
    <t>Partners Healthcare Spaulding Rehab</t>
  </si>
  <si>
    <t>KSR013.0</t>
  </si>
  <si>
    <t>HDP037.0</t>
  </si>
  <si>
    <t>HDP012.0</t>
  </si>
  <si>
    <t>HDP019.0</t>
  </si>
  <si>
    <t>ATT079.0</t>
  </si>
  <si>
    <t>HDP033.0</t>
  </si>
  <si>
    <t>KSR019.0</t>
  </si>
  <si>
    <t>HDP015.0</t>
  </si>
  <si>
    <t>MER002.0</t>
  </si>
  <si>
    <t>HDD053.0</t>
  </si>
  <si>
    <t>ATT054.0</t>
  </si>
  <si>
    <t>HDP052.0</t>
  </si>
  <si>
    <t>ATA012.0</t>
  </si>
  <si>
    <t>HDP029.0</t>
  </si>
  <si>
    <t>MER004.0</t>
  </si>
  <si>
    <t>HDD015.0</t>
  </si>
  <si>
    <t>ATA017.0</t>
  </si>
  <si>
    <t>COX000.0</t>
  </si>
  <si>
    <t>STP04</t>
  </si>
  <si>
    <t>Staples Inc.</t>
  </si>
  <si>
    <t>GGL00</t>
  </si>
  <si>
    <t>Google</t>
  </si>
  <si>
    <t>CTC011.0</t>
  </si>
  <si>
    <t>ATT21</t>
  </si>
  <si>
    <t>HOM083.0</t>
  </si>
  <si>
    <t>BLD002.0</t>
  </si>
  <si>
    <t>BLM000.2</t>
  </si>
  <si>
    <t>Bloom Energy</t>
  </si>
  <si>
    <t>HOM50</t>
  </si>
  <si>
    <t>HLD01</t>
  </si>
  <si>
    <t>Ahold</t>
  </si>
  <si>
    <t>KSR051.0</t>
  </si>
  <si>
    <t>HOM12</t>
  </si>
  <si>
    <t>HDP163.0</t>
  </si>
  <si>
    <t>OSK00</t>
  </si>
  <si>
    <t>Osaka Market</t>
  </si>
  <si>
    <t>IIV000.B</t>
  </si>
  <si>
    <t>HOM52</t>
  </si>
  <si>
    <t>ATT092.0</t>
  </si>
  <si>
    <t>HOM37</t>
  </si>
  <si>
    <t>HDP007.B</t>
  </si>
  <si>
    <t>ATT085.0</t>
  </si>
  <si>
    <t>NTL01</t>
  </si>
  <si>
    <t>NTL00</t>
  </si>
  <si>
    <t>HDP024.0</t>
  </si>
  <si>
    <t>HOM19</t>
  </si>
  <si>
    <t>HDD00</t>
  </si>
  <si>
    <t>HDD70</t>
  </si>
  <si>
    <t>HOM61</t>
  </si>
  <si>
    <t>LNK01</t>
  </si>
  <si>
    <t>LinkedIn</t>
  </si>
  <si>
    <t>HOM00</t>
  </si>
  <si>
    <t>HDD21</t>
  </si>
  <si>
    <t>ATA011.0</t>
  </si>
  <si>
    <t>HOM39</t>
  </si>
  <si>
    <t>HOM26</t>
  </si>
  <si>
    <t>HLD00</t>
  </si>
  <si>
    <t>KSR057.0</t>
  </si>
  <si>
    <t>ATA009.0</t>
  </si>
  <si>
    <t>ATA02</t>
  </si>
  <si>
    <t>ATT37</t>
  </si>
  <si>
    <t>HDP041.0</t>
  </si>
  <si>
    <t>HOM13</t>
  </si>
  <si>
    <t>WIL00</t>
  </si>
  <si>
    <t>Willams-Sonoma</t>
  </si>
  <si>
    <t>MDC00</t>
  </si>
  <si>
    <t>APP08</t>
  </si>
  <si>
    <t>PHC01</t>
  </si>
  <si>
    <t>HOM30</t>
  </si>
  <si>
    <t>HOM70</t>
  </si>
  <si>
    <t>EBY12</t>
  </si>
  <si>
    <t>eBay Inc.</t>
  </si>
  <si>
    <t>EBY04</t>
  </si>
  <si>
    <t>TGT01</t>
  </si>
  <si>
    <t>Target</t>
  </si>
  <si>
    <t>HDD25</t>
  </si>
  <si>
    <t>HDP042.0</t>
  </si>
  <si>
    <t>APP03</t>
  </si>
  <si>
    <t>HDP030.0</t>
  </si>
  <si>
    <t>URB00</t>
  </si>
  <si>
    <t>Urban Outfitters</t>
  </si>
  <si>
    <t>MGN00</t>
  </si>
  <si>
    <t>Morgan Stanley</t>
  </si>
  <si>
    <t>EQX001.A</t>
  </si>
  <si>
    <t>EBY08</t>
  </si>
  <si>
    <t>SVS00</t>
  </si>
  <si>
    <t>Savvis</t>
  </si>
  <si>
    <t>EQX005.0</t>
  </si>
  <si>
    <t>ATT057.0</t>
  </si>
  <si>
    <t>WAS00</t>
  </si>
  <si>
    <t>Washington Gas</t>
  </si>
  <si>
    <t>ATA004.0</t>
  </si>
  <si>
    <t>ATT32</t>
  </si>
  <si>
    <t>ROL02</t>
  </si>
  <si>
    <t>Roll Global</t>
  </si>
  <si>
    <t>HOM14</t>
  </si>
  <si>
    <t>HOM25</t>
  </si>
  <si>
    <t>WAL34</t>
  </si>
  <si>
    <t>Walmart</t>
  </si>
  <si>
    <t>ATT25</t>
  </si>
  <si>
    <t>SCC01</t>
  </si>
  <si>
    <t>County of Santa Clara</t>
  </si>
  <si>
    <t>HOM03</t>
  </si>
  <si>
    <t>JPM00</t>
  </si>
  <si>
    <t>JP Morgan</t>
  </si>
  <si>
    <t>PHC004.0</t>
  </si>
  <si>
    <t>HDD049.0</t>
  </si>
  <si>
    <t>ATT067.0</t>
  </si>
  <si>
    <t>KSR074.A</t>
  </si>
  <si>
    <t>HOM55</t>
  </si>
  <si>
    <t>DFM00</t>
  </si>
  <si>
    <t>SBK00</t>
  </si>
  <si>
    <t>Starbucks</t>
  </si>
  <si>
    <t>WMT16</t>
  </si>
  <si>
    <t>HOM40</t>
  </si>
  <si>
    <t>WAL23</t>
  </si>
  <si>
    <t>NOK00</t>
  </si>
  <si>
    <t>Nokia</t>
  </si>
  <si>
    <t>HDP094.0</t>
  </si>
  <si>
    <t>KSR034.0</t>
  </si>
  <si>
    <t>KSR73</t>
  </si>
  <si>
    <t>HOM04</t>
  </si>
  <si>
    <t>RED000.P</t>
  </si>
  <si>
    <t>BLD000.0</t>
  </si>
  <si>
    <t>SCE00</t>
  </si>
  <si>
    <t>Southern California Edison</t>
  </si>
  <si>
    <t>HDP149.0</t>
  </si>
  <si>
    <t>ATT064.0</t>
  </si>
  <si>
    <t>ATT99</t>
  </si>
  <si>
    <t>KST000.A</t>
  </si>
  <si>
    <t>Keysight</t>
  </si>
  <si>
    <t>ATA010.0</t>
  </si>
  <si>
    <t>KEI00</t>
  </si>
  <si>
    <t>Keio University</t>
  </si>
  <si>
    <t>HOM23</t>
  </si>
  <si>
    <t>WAL36</t>
  </si>
  <si>
    <t>WAL39</t>
  </si>
  <si>
    <t>HDD56</t>
  </si>
  <si>
    <t>HOM54</t>
  </si>
  <si>
    <t>EQX015.B</t>
  </si>
  <si>
    <t>PNS00</t>
  </si>
  <si>
    <t>Panasonic Avionics</t>
  </si>
  <si>
    <t>HDD051.0</t>
  </si>
  <si>
    <t>KSR69</t>
  </si>
  <si>
    <t>BLM00</t>
  </si>
  <si>
    <t>HOM41</t>
  </si>
  <si>
    <t>STH00</t>
  </si>
  <si>
    <t>Sutter Health</t>
  </si>
  <si>
    <t>WAL38</t>
  </si>
  <si>
    <t>HOM59</t>
  </si>
  <si>
    <t>HYT00</t>
  </si>
  <si>
    <t>Hyatt</t>
  </si>
  <si>
    <t>HOM06</t>
  </si>
  <si>
    <t>HDD71</t>
  </si>
  <si>
    <t>WAL32</t>
  </si>
  <si>
    <t>KSR018.B</t>
  </si>
  <si>
    <t>BRK02</t>
  </si>
  <si>
    <t>ATT31</t>
  </si>
  <si>
    <t>ROL08</t>
  </si>
  <si>
    <t>CYP1</t>
  </si>
  <si>
    <t>Cypress Semiconductor</t>
  </si>
  <si>
    <t>HDP109.0</t>
  </si>
  <si>
    <t>WAL76</t>
  </si>
  <si>
    <t>ATT075.0</t>
  </si>
  <si>
    <t>HDP023.0</t>
  </si>
  <si>
    <t>ATT35</t>
  </si>
  <si>
    <t>HDD76</t>
  </si>
  <si>
    <t>YAH00</t>
  </si>
  <si>
    <t>Yahoo</t>
  </si>
  <si>
    <t>BMR000.0</t>
  </si>
  <si>
    <t>BioMed Realty</t>
  </si>
  <si>
    <t>VZN03</t>
  </si>
  <si>
    <t>Verizon</t>
  </si>
  <si>
    <t>HOM42</t>
  </si>
  <si>
    <t>WAL24</t>
  </si>
  <si>
    <t>ATT30</t>
  </si>
  <si>
    <t>WAL33</t>
  </si>
  <si>
    <t>HDP115.0</t>
  </si>
  <si>
    <t>HDD31</t>
  </si>
  <si>
    <t>RED02</t>
  </si>
  <si>
    <t>STR00</t>
  </si>
  <si>
    <t>Sutter Home Winery</t>
  </si>
  <si>
    <t>ROL07</t>
  </si>
  <si>
    <t>HOM32</t>
  </si>
  <si>
    <t>IKA01</t>
  </si>
  <si>
    <t>ATT26</t>
  </si>
  <si>
    <t>HMH000.0</t>
  </si>
  <si>
    <t>Hoag Memorial Hospital Presbyterian</t>
  </si>
  <si>
    <t>HOM57</t>
  </si>
  <si>
    <t>HOM64</t>
  </si>
  <si>
    <t>FDX01</t>
  </si>
  <si>
    <t>WMT51</t>
  </si>
  <si>
    <t>GEN004.0</t>
  </si>
  <si>
    <t>Genentech</t>
  </si>
  <si>
    <t>ROL04</t>
  </si>
  <si>
    <t>MER005.0</t>
  </si>
  <si>
    <t>VRS00</t>
  </si>
  <si>
    <t>Americold</t>
  </si>
  <si>
    <t>ATT00</t>
  </si>
  <si>
    <t>HOM35</t>
  </si>
  <si>
    <t>IBM00</t>
  </si>
  <si>
    <t>IBM</t>
  </si>
  <si>
    <t>HOM24</t>
  </si>
  <si>
    <t>ATT15</t>
  </si>
  <si>
    <t>HOM38</t>
  </si>
  <si>
    <t>HOM51</t>
  </si>
  <si>
    <t>WAL42</t>
  </si>
  <si>
    <t>ATT16</t>
  </si>
  <si>
    <t>AHM001.0</t>
  </si>
  <si>
    <t>Anaheim Ducks</t>
  </si>
  <si>
    <t>WAL26</t>
  </si>
  <si>
    <t>HDD064.0</t>
  </si>
  <si>
    <t>HOM46</t>
  </si>
  <si>
    <t>WAL9</t>
  </si>
  <si>
    <t>HDP016.0</t>
  </si>
  <si>
    <t>KSR68</t>
  </si>
  <si>
    <t>APP0</t>
  </si>
  <si>
    <t>PAC00</t>
  </si>
  <si>
    <t>Pacific Cheese</t>
  </si>
  <si>
    <t>ATT24</t>
  </si>
  <si>
    <t>TGT00</t>
  </si>
  <si>
    <t>ROL06</t>
  </si>
  <si>
    <t>HDP034.0</t>
  </si>
  <si>
    <t>HOM48</t>
  </si>
  <si>
    <t>ATT069.0</t>
  </si>
  <si>
    <t>APP05</t>
  </si>
  <si>
    <t>MDC001.A</t>
  </si>
  <si>
    <t>ATT14</t>
  </si>
  <si>
    <t>ATT17</t>
  </si>
  <si>
    <t>HDD014.0</t>
  </si>
  <si>
    <t>NTL003.B</t>
  </si>
  <si>
    <t>OWE00</t>
  </si>
  <si>
    <t>Owens Corning</t>
  </si>
  <si>
    <t>HDD55</t>
  </si>
  <si>
    <t>ATT41</t>
  </si>
  <si>
    <t>KSR70</t>
  </si>
  <si>
    <t>SFB01</t>
  </si>
  <si>
    <t>SoftBank</t>
  </si>
  <si>
    <t>DGR000.A</t>
  </si>
  <si>
    <t>Digital Realty Trust</t>
  </si>
  <si>
    <t>ATT39</t>
  </si>
  <si>
    <t>HOM73</t>
  </si>
  <si>
    <t>MXM00</t>
  </si>
  <si>
    <t>Maxim Integrated</t>
  </si>
  <si>
    <t>VZN02</t>
  </si>
  <si>
    <t>HOM11</t>
  </si>
  <si>
    <t>WAL7</t>
  </si>
  <si>
    <t>LNK00</t>
  </si>
  <si>
    <t>SFW0</t>
  </si>
  <si>
    <t>Safeway</t>
  </si>
  <si>
    <t>HNS00</t>
  </si>
  <si>
    <t>Hines</t>
  </si>
  <si>
    <t>ATT27</t>
  </si>
  <si>
    <t>HOM10</t>
  </si>
  <si>
    <t>ADB02</t>
  </si>
  <si>
    <t>WMT59</t>
  </si>
  <si>
    <t>ATT066.0</t>
  </si>
  <si>
    <t>APP07</t>
  </si>
  <si>
    <t>ACT00</t>
  </si>
  <si>
    <t>AC Transit</t>
  </si>
  <si>
    <t>HOM77</t>
  </si>
  <si>
    <t>AEG00</t>
  </si>
  <si>
    <t>AEG - Staples Center</t>
  </si>
  <si>
    <t>SNL002.0</t>
  </si>
  <si>
    <t>Silverman &amp; Light</t>
  </si>
  <si>
    <t>ADB04</t>
  </si>
  <si>
    <t>RED00</t>
  </si>
  <si>
    <t>HDD092.0</t>
  </si>
  <si>
    <t>CMC00</t>
  </si>
  <si>
    <t>Comcast</t>
  </si>
  <si>
    <t>APP01</t>
  </si>
  <si>
    <t>PHC00</t>
  </si>
  <si>
    <t>EQX000.0</t>
  </si>
  <si>
    <t>WMT50</t>
  </si>
  <si>
    <t>LFT01</t>
  </si>
  <si>
    <t>Life Technologies</t>
  </si>
  <si>
    <t>IKA002.0</t>
  </si>
  <si>
    <t>HOM02</t>
  </si>
  <si>
    <t>JAJ00</t>
  </si>
  <si>
    <t>Johnson and Johnson</t>
  </si>
  <si>
    <t>ATT33</t>
  </si>
  <si>
    <t>ATT34</t>
  </si>
  <si>
    <t>JAJ01</t>
  </si>
  <si>
    <t>APP02</t>
  </si>
  <si>
    <t>AMZ00</t>
  </si>
  <si>
    <t>Amazon</t>
  </si>
  <si>
    <t>AHM00</t>
  </si>
  <si>
    <t>HOM081.0</t>
  </si>
  <si>
    <t>HDP112.0</t>
  </si>
  <si>
    <t>APP09</t>
  </si>
  <si>
    <t>EQX003.0</t>
  </si>
  <si>
    <t>WMT11</t>
  </si>
  <si>
    <t>CTC015.0</t>
  </si>
  <si>
    <t>EBY0</t>
  </si>
  <si>
    <t>WAL1</t>
  </si>
  <si>
    <t>COX01</t>
  </si>
  <si>
    <t>JSR000.0</t>
  </si>
  <si>
    <t>JSR Micro</t>
  </si>
  <si>
    <t>COK01</t>
  </si>
  <si>
    <t>Coca-Cola</t>
  </si>
  <si>
    <t>SCC00</t>
  </si>
  <si>
    <t>MAC02</t>
  </si>
  <si>
    <t>Macy's</t>
  </si>
  <si>
    <t>HDD65</t>
  </si>
  <si>
    <t>ATT19</t>
  </si>
  <si>
    <t>HDD083.0</t>
  </si>
  <si>
    <t>ATT074.0</t>
  </si>
  <si>
    <t>SFB00</t>
  </si>
  <si>
    <t>AGT001.0</t>
  </si>
  <si>
    <t>CTC009.0</t>
  </si>
  <si>
    <t>IKA008.0</t>
  </si>
  <si>
    <t>EBY13</t>
  </si>
  <si>
    <t>WAL8</t>
  </si>
  <si>
    <t>HDP147.0</t>
  </si>
  <si>
    <t>JMB00</t>
  </si>
  <si>
    <t>JMB Realty Corp.</t>
  </si>
  <si>
    <t>STR01</t>
  </si>
  <si>
    <t>WAL31</t>
  </si>
  <si>
    <t>GEN01</t>
  </si>
  <si>
    <t>ATT23</t>
  </si>
  <si>
    <t>INT00</t>
  </si>
  <si>
    <t>Intuit</t>
  </si>
  <si>
    <t>ATA014.0</t>
  </si>
  <si>
    <t>JPR00</t>
  </si>
  <si>
    <t>Juniper Networks</t>
  </si>
  <si>
    <t>ATT45</t>
  </si>
  <si>
    <t>HOM05</t>
  </si>
  <si>
    <t>LFT00</t>
  </si>
  <si>
    <t>WAL29</t>
  </si>
  <si>
    <t>WMT12</t>
  </si>
  <si>
    <t>HDD079.0</t>
  </si>
  <si>
    <t>HDP141.0</t>
  </si>
  <si>
    <t>HOM071.0</t>
  </si>
  <si>
    <t>ATT12</t>
  </si>
  <si>
    <t>LOK00</t>
  </si>
  <si>
    <t>Lockheed Martin</t>
  </si>
  <si>
    <t>ATT22</t>
  </si>
  <si>
    <t>HOM63</t>
  </si>
  <si>
    <t>LMD000.0</t>
  </si>
  <si>
    <t>L+M Development Partners</t>
  </si>
  <si>
    <t>BOA0</t>
  </si>
  <si>
    <t>Bank of America</t>
  </si>
  <si>
    <t>PGE00</t>
  </si>
  <si>
    <t>PG&amp;E</t>
  </si>
  <si>
    <t>EBY03</t>
  </si>
  <si>
    <t>HOM17</t>
  </si>
  <si>
    <t>HOM08</t>
  </si>
  <si>
    <t>KSR061.0</t>
  </si>
  <si>
    <t>HDD046.0</t>
  </si>
  <si>
    <t>WMT53</t>
  </si>
  <si>
    <t>RED01</t>
  </si>
  <si>
    <t>HDD044.0</t>
  </si>
  <si>
    <t>TLM00</t>
  </si>
  <si>
    <t>TaylorMade-adidas</t>
  </si>
  <si>
    <t>ATT97</t>
  </si>
  <si>
    <t>WAL30</t>
  </si>
  <si>
    <t>KSR72</t>
  </si>
  <si>
    <t>ATT053.0</t>
  </si>
  <si>
    <t>SCC02</t>
  </si>
  <si>
    <t>HOM89</t>
  </si>
  <si>
    <t>LIU000.0</t>
  </si>
  <si>
    <t>Long Island University</t>
  </si>
  <si>
    <t>CTC010.0</t>
  </si>
  <si>
    <t>ATT058.0</t>
  </si>
  <si>
    <t>ATA013.0</t>
  </si>
  <si>
    <t>ROL00</t>
  </si>
  <si>
    <t>KSR055.0</t>
  </si>
  <si>
    <t>EQX010.A</t>
  </si>
  <si>
    <t>VZN01</t>
  </si>
  <si>
    <t>BRK01</t>
  </si>
  <si>
    <t>WAL41</t>
  </si>
  <si>
    <t>HOM34</t>
  </si>
  <si>
    <t>CMC01</t>
  </si>
  <si>
    <t>PXR00</t>
  </si>
  <si>
    <t>Pixar</t>
  </si>
  <si>
    <t>CSS00</t>
  </si>
  <si>
    <t>Credit Suisse</t>
  </si>
  <si>
    <t>RED03</t>
  </si>
  <si>
    <t>WAL19</t>
  </si>
  <si>
    <t>WAL21</t>
  </si>
  <si>
    <t>WAL27</t>
  </si>
  <si>
    <t>ATA003.0</t>
  </si>
  <si>
    <t>HOM27</t>
  </si>
  <si>
    <t>FTC000.0</t>
  </si>
  <si>
    <t>Frontier Communications</t>
  </si>
  <si>
    <t>HOM18</t>
  </si>
  <si>
    <t>HON00</t>
  </si>
  <si>
    <t>Honda</t>
  </si>
  <si>
    <t>ATT38</t>
  </si>
  <si>
    <t>HOM29</t>
  </si>
  <si>
    <t>ATT98</t>
  </si>
  <si>
    <t>HOM56</t>
  </si>
  <si>
    <t>BHS00</t>
  </si>
  <si>
    <t>Baker Hughes</t>
  </si>
  <si>
    <t>HOM58</t>
  </si>
  <si>
    <t>HOM49</t>
  </si>
  <si>
    <t>HDD10</t>
  </si>
  <si>
    <t>APP04</t>
  </si>
  <si>
    <t>HOM20</t>
  </si>
  <si>
    <t>HDP099.0</t>
  </si>
  <si>
    <t>HOM21</t>
  </si>
  <si>
    <t>WMT13</t>
  </si>
  <si>
    <t>HDP043.0</t>
  </si>
  <si>
    <t>WAL0</t>
  </si>
  <si>
    <t>MGN001.0</t>
  </si>
  <si>
    <t>CLT03</t>
  </si>
  <si>
    <t>Caltech</t>
  </si>
  <si>
    <t>HDD016.0</t>
  </si>
  <si>
    <t>HOM22</t>
  </si>
  <si>
    <t>HOM47</t>
  </si>
  <si>
    <t>EQX012.0</t>
  </si>
  <si>
    <t>HOM44</t>
  </si>
  <si>
    <t>HOM079.0</t>
  </si>
  <si>
    <t>HDD94</t>
  </si>
  <si>
    <t>WAL22</t>
  </si>
  <si>
    <t>ATT044.0</t>
  </si>
  <si>
    <t>KLG00</t>
  </si>
  <si>
    <t>Kellogg Co.</t>
  </si>
  <si>
    <t>HDD22</t>
  </si>
  <si>
    <t>WMT20</t>
  </si>
  <si>
    <t>DRM00</t>
  </si>
  <si>
    <t>Dreamworks Animation</t>
  </si>
  <si>
    <t>ATT068.0</t>
  </si>
  <si>
    <t>HOM65</t>
  </si>
  <si>
    <t>WMT028.0</t>
  </si>
  <si>
    <t>ATT040.0</t>
  </si>
  <si>
    <t>WAL4</t>
  </si>
  <si>
    <t>HDD068.0</t>
  </si>
  <si>
    <t>WMT07</t>
  </si>
  <si>
    <t>WAL50</t>
  </si>
  <si>
    <t>HDD26</t>
  </si>
  <si>
    <t>HDD27</t>
  </si>
  <si>
    <t>NTL003.A</t>
  </si>
  <si>
    <t>HDD05</t>
  </si>
  <si>
    <t>GEN005.0</t>
  </si>
  <si>
    <t>WMT10</t>
  </si>
  <si>
    <t>SCC03</t>
  </si>
  <si>
    <t>WMT15</t>
  </si>
  <si>
    <t>HOM36</t>
  </si>
  <si>
    <t>DGR000.B</t>
  </si>
  <si>
    <t>ATT055.0</t>
  </si>
  <si>
    <t>CST001.A</t>
  </si>
  <si>
    <t>CoreSite</t>
  </si>
  <si>
    <t>HDD80</t>
  </si>
  <si>
    <t>HOM76</t>
  </si>
  <si>
    <t>HDD75</t>
  </si>
  <si>
    <t>ROL03</t>
  </si>
  <si>
    <t>CTC000.0</t>
  </si>
  <si>
    <t>CEN000.0</t>
  </si>
  <si>
    <t>Constellation Energy</t>
  </si>
  <si>
    <t>WMT58</t>
  </si>
  <si>
    <t>HDP22</t>
  </si>
  <si>
    <t>HDD42</t>
  </si>
  <si>
    <t>HDD90</t>
  </si>
  <si>
    <t>BLM001.0</t>
  </si>
  <si>
    <t>JBC000.0</t>
  </si>
  <si>
    <t>Jabil</t>
  </si>
  <si>
    <t>HDP091.0</t>
  </si>
  <si>
    <t>ATT95</t>
  </si>
  <si>
    <t>FDX006.0</t>
  </si>
  <si>
    <t>ATT96</t>
  </si>
  <si>
    <t>BGE01</t>
  </si>
  <si>
    <t>Baltimore Gas &amp; Electric</t>
  </si>
  <si>
    <t>NTL002.A</t>
  </si>
  <si>
    <t>CST001.B</t>
  </si>
  <si>
    <t>PHC002.0</t>
  </si>
  <si>
    <t>HDD47</t>
  </si>
  <si>
    <t>HDD09</t>
  </si>
  <si>
    <t>HOM45</t>
  </si>
  <si>
    <t>HDD95</t>
  </si>
  <si>
    <t>HDD29</t>
  </si>
  <si>
    <t>NAS00</t>
  </si>
  <si>
    <t>NASA</t>
  </si>
  <si>
    <t>WAL35</t>
  </si>
  <si>
    <t>HDD17</t>
  </si>
  <si>
    <t>GEN00</t>
  </si>
  <si>
    <t>WMT21</t>
  </si>
  <si>
    <t>ATT94</t>
  </si>
  <si>
    <t>HDD30</t>
  </si>
  <si>
    <t>HOM68</t>
  </si>
  <si>
    <t>KSR67</t>
  </si>
  <si>
    <t>HDP14</t>
  </si>
  <si>
    <t>HDD081.0</t>
  </si>
  <si>
    <t>WMT043.0</t>
  </si>
  <si>
    <t>HOM15</t>
  </si>
  <si>
    <t>RGP000.0</t>
  </si>
  <si>
    <t>Regeneron Pharmaceuticals Inc</t>
  </si>
  <si>
    <t>WAL10</t>
  </si>
  <si>
    <t>SVO000.0</t>
  </si>
  <si>
    <t>SevOne</t>
  </si>
  <si>
    <t>HOM01</t>
  </si>
  <si>
    <t>WMT014.0</t>
  </si>
  <si>
    <t>HOM78</t>
  </si>
  <si>
    <t>CTC014.0</t>
  </si>
  <si>
    <t>ATT084.0</t>
  </si>
  <si>
    <t>ATT060.0</t>
  </si>
  <si>
    <t>RED000.N</t>
  </si>
  <si>
    <t>EBY10</t>
  </si>
  <si>
    <t>HOM60</t>
  </si>
  <si>
    <t>HOM43</t>
  </si>
  <si>
    <t>FDX010.0</t>
  </si>
  <si>
    <t>APP06</t>
  </si>
  <si>
    <t>HDP01</t>
  </si>
  <si>
    <t>RED000.M</t>
  </si>
  <si>
    <t>HOM82</t>
  </si>
  <si>
    <t>CLT004.0</t>
  </si>
  <si>
    <t>ROL01</t>
  </si>
  <si>
    <t>HDD03</t>
  </si>
  <si>
    <t>CLT006.0</t>
  </si>
  <si>
    <t>HOM31</t>
  </si>
  <si>
    <t>ORC00</t>
  </si>
  <si>
    <t>Oracle</t>
  </si>
  <si>
    <t>LGR000.0</t>
  </si>
  <si>
    <t>Legrand</t>
  </si>
  <si>
    <t>ATA00</t>
  </si>
  <si>
    <t>HDP032.0</t>
  </si>
  <si>
    <t>EBY11</t>
  </si>
  <si>
    <t>IKA004.0</t>
  </si>
  <si>
    <t>HDD12</t>
  </si>
  <si>
    <t>WAL47</t>
  </si>
  <si>
    <t>HDD72</t>
  </si>
  <si>
    <t>HDD84</t>
  </si>
  <si>
    <t>WMT045.0</t>
  </si>
  <si>
    <t>ATT091.0</t>
  </si>
  <si>
    <t>HOM62</t>
  </si>
  <si>
    <t>HDD96</t>
  </si>
  <si>
    <t>HDP13</t>
  </si>
  <si>
    <t>HOM72</t>
  </si>
  <si>
    <t>WMT55</t>
  </si>
  <si>
    <t>HOM86</t>
  </si>
  <si>
    <t>WMT09</t>
  </si>
  <si>
    <t>WMT18</t>
  </si>
  <si>
    <t>RED000.L</t>
  </si>
  <si>
    <t>HDP035.0</t>
  </si>
  <si>
    <t>HOM91</t>
  </si>
  <si>
    <t>KST000.B</t>
  </si>
  <si>
    <t>HOM33</t>
  </si>
  <si>
    <t>EQX011.A</t>
  </si>
  <si>
    <t>FDX009.0</t>
  </si>
  <si>
    <t>HDD024.0</t>
  </si>
  <si>
    <t>HDD074.0</t>
  </si>
  <si>
    <t>ATT071.0</t>
  </si>
  <si>
    <t>HDD045.0</t>
  </si>
  <si>
    <t>WAL43</t>
  </si>
  <si>
    <t>WMT35</t>
  </si>
  <si>
    <t>ATT088.0</t>
  </si>
  <si>
    <t>HDD062.0</t>
  </si>
  <si>
    <t>EBY06</t>
  </si>
  <si>
    <t>ATT62</t>
  </si>
  <si>
    <t>WMT08</t>
  </si>
  <si>
    <t>PHC006.0</t>
  </si>
  <si>
    <t>HDD028.0</t>
  </si>
  <si>
    <t>HDD078.0</t>
  </si>
  <si>
    <t>HOM066.0</t>
  </si>
  <si>
    <t>ATT43</t>
  </si>
  <si>
    <t>HDP007.A</t>
  </si>
  <si>
    <t>HOM09</t>
  </si>
  <si>
    <t>WMT54</t>
  </si>
  <si>
    <t>HDD087.0</t>
  </si>
  <si>
    <t>WMT56</t>
  </si>
  <si>
    <t>HOM16</t>
  </si>
  <si>
    <t>GEN02</t>
  </si>
  <si>
    <t>WMT57</t>
  </si>
  <si>
    <t>BRK00</t>
  </si>
  <si>
    <t>HDD059.0</t>
  </si>
  <si>
    <t>HDD063.0</t>
  </si>
  <si>
    <t>MDC001.B</t>
  </si>
  <si>
    <t>ATT059.0</t>
  </si>
  <si>
    <t>BDB01</t>
  </si>
  <si>
    <t>BD Biosciences</t>
  </si>
  <si>
    <t>HDD06</t>
  </si>
  <si>
    <t>ATA01</t>
  </si>
  <si>
    <t>HDD18</t>
  </si>
  <si>
    <t>HOM74</t>
  </si>
  <si>
    <t>WMT52</t>
  </si>
  <si>
    <t>HDD043.0</t>
  </si>
  <si>
    <t>TLR000.B</t>
  </si>
  <si>
    <t>FRK00</t>
  </si>
  <si>
    <t>Franklin Templeton</t>
  </si>
  <si>
    <t>WAL44</t>
  </si>
  <si>
    <t>HDP021.0</t>
  </si>
  <si>
    <t>WMT042.0</t>
  </si>
  <si>
    <t>NYC00</t>
  </si>
  <si>
    <t>New York City Hall</t>
  </si>
  <si>
    <t>WMT044.0</t>
  </si>
  <si>
    <t>WAL77</t>
  </si>
  <si>
    <t>HDP006.0</t>
  </si>
  <si>
    <t>HDD085.0</t>
  </si>
  <si>
    <t>HDD093.0</t>
  </si>
  <si>
    <t>ADP003.0</t>
  </si>
  <si>
    <t>ADP</t>
  </si>
  <si>
    <t>HDP101.0</t>
  </si>
  <si>
    <t>KSR71</t>
  </si>
  <si>
    <t>CNC000.0</t>
  </si>
  <si>
    <t>Connecticut College</t>
  </si>
  <si>
    <t>FLX001.0</t>
  </si>
  <si>
    <t>ATT083.0</t>
  </si>
  <si>
    <t>ATT051.0</t>
  </si>
  <si>
    <t>KST000.C</t>
  </si>
  <si>
    <t>NTL002.B</t>
  </si>
  <si>
    <t>HDP009.0</t>
  </si>
  <si>
    <t>APP10</t>
  </si>
  <si>
    <t>DTV002.0</t>
  </si>
  <si>
    <t>DIRECTV</t>
  </si>
  <si>
    <t>CLT005.0</t>
  </si>
  <si>
    <t>HDD99</t>
  </si>
  <si>
    <t>KLG01</t>
  </si>
  <si>
    <t>KSR064.0</t>
  </si>
  <si>
    <t>HDP011.0</t>
  </si>
  <si>
    <t>IKA003.0</t>
  </si>
  <si>
    <t>SQL Sites</t>
  </si>
  <si>
    <t>Sites Dropdown</t>
  </si>
  <si>
    <t>months</t>
  </si>
  <si>
    <t>acceptance_date</t>
  </si>
  <si>
    <t>CapEx</t>
  </si>
  <si>
    <t>contract</t>
  </si>
  <si>
    <t>PPA8</t>
  </si>
  <si>
    <t>CAPEX</t>
  </si>
  <si>
    <t>PPA2b</t>
  </si>
  <si>
    <t>ManagedServices</t>
  </si>
  <si>
    <t>PPA6</t>
  </si>
  <si>
    <t>LEASE</t>
  </si>
  <si>
    <t>None</t>
  </si>
  <si>
    <t>PPA5</t>
  </si>
  <si>
    <t>PPAw</t>
  </si>
  <si>
    <t>PPA3a</t>
  </si>
  <si>
    <t>PPA4</t>
  </si>
  <si>
    <t>PPA3b</t>
  </si>
  <si>
    <t>PPA1</t>
  </si>
  <si>
    <t>PPA2</t>
  </si>
  <si>
    <t>PPA</t>
  </si>
  <si>
    <t>Contracts</t>
  </si>
  <si>
    <t>types</t>
  </si>
  <si>
    <t>n</t>
  </si>
  <si>
    <t>Years</t>
  </si>
  <si>
    <t>fleet size</t>
  </si>
  <si>
    <t>monte-carlo runs</t>
  </si>
  <si>
    <t>installation 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</si>
</sst>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mm/dd/yy;@"/>
    <numFmt numFmtId="165" formatCode="_(* #,##0_);_(* \(#,##0\);_(* &quot;-&quot;??_);_(@_)"/>
    <numFmt numFmtId="166" formatCode="0.0\x"/>
  </numFmts>
  <fonts count="10"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1"/>
      <name val="Calibri"/>
      <family val="2"/>
      <scheme val="minor"/>
    </font>
    <font>
      <sz val="8"/>
      <color rgb="FF000000"/>
      <name val="Segoe UI"/>
      <family val="2"/>
    </font>
    <font>
      <sz val="14"/>
      <color rgb="FF000000"/>
      <name val="Calibri"/>
      <family val="2"/>
    </font>
    <font>
      <sz val="10"/>
      <color rgb="FF000000"/>
      <name val="Calibri"/>
      <family val="2"/>
    </font>
    <font>
      <sz val="11"/>
      <color rgb="FF000000"/>
      <name val="Calibri"/>
      <family val="2"/>
    </font>
    <font>
      <sz val="9"/>
      <color indexed="81"/>
      <name val="Tahoma"/>
      <family val="2"/>
    </font>
  </fonts>
  <fills count="11">
    <fill>
      <patternFill patternType="none"/>
    </fill>
    <fill>
      <patternFill patternType="gray125"/>
    </fill>
    <fill>
      <patternFill patternType="solid">
        <fgColor rgb="FF00B050"/>
        <bgColor indexed="64"/>
      </patternFill>
    </fill>
    <fill>
      <patternFill patternType="solid">
        <fgColor rgb="FF7030A0"/>
        <bgColor indexed="64"/>
      </patternFill>
    </fill>
    <fill>
      <patternFill patternType="solid">
        <fgColor rgb="FF00206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C00000"/>
        <bgColor indexed="64"/>
      </patternFill>
    </fill>
    <fill>
      <patternFill patternType="solid">
        <fgColor rgb="FFFFC000"/>
        <bgColor indexed="64"/>
      </patternFill>
    </fill>
    <fill>
      <patternFill patternType="solid">
        <fgColor rgb="FF0070C0"/>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s>
  <cellStyleXfs count="2">
    <xf numFmtId="0" fontId="0" fillId="0" borderId="0"/>
    <xf numFmtId="43" fontId="1" fillId="0" borderId="0" applyFont="0" applyFill="0" applyBorder="0" applyAlignment="0" applyProtection="0"/>
  </cellStyleXfs>
  <cellXfs count="36">
    <xf numFmtId="0" fontId="0" fillId="0" borderId="0" xfId="0"/>
    <xf numFmtId="0" fontId="0" fillId="0" borderId="2" xfId="0" applyBorder="1"/>
    <xf numFmtId="0" fontId="2" fillId="2" borderId="2" xfId="0" applyFont="1" applyFill="1" applyBorder="1"/>
    <xf numFmtId="0" fontId="2" fillId="3" borderId="2" xfId="0" applyFont="1" applyFill="1" applyBorder="1"/>
    <xf numFmtId="0" fontId="3" fillId="4" borderId="2" xfId="0" applyFont="1" applyFill="1" applyBorder="1"/>
    <xf numFmtId="0" fontId="2" fillId="4" borderId="2" xfId="0" applyFont="1" applyFill="1" applyBorder="1"/>
    <xf numFmtId="0" fontId="0" fillId="0" borderId="0" xfId="0" applyBorder="1"/>
    <xf numFmtId="0" fontId="0" fillId="0" borderId="0" xfId="0" applyAlignment="1">
      <alignment horizontal="right"/>
    </xf>
    <xf numFmtId="0" fontId="0" fillId="0" borderId="0" xfId="0" applyFill="1" applyBorder="1"/>
    <xf numFmtId="0" fontId="2" fillId="8" borderId="2" xfId="0" applyFont="1" applyFill="1" applyBorder="1"/>
    <xf numFmtId="0" fontId="3" fillId="8" borderId="2" xfId="0" applyFont="1" applyFill="1" applyBorder="1"/>
    <xf numFmtId="0" fontId="0" fillId="0" borderId="0" xfId="0" applyBorder="1" applyAlignment="1">
      <alignment horizontal="right"/>
    </xf>
    <xf numFmtId="165" fontId="0" fillId="0" borderId="0" xfId="0" applyNumberFormat="1" applyFont="1"/>
    <xf numFmtId="0" fontId="0" fillId="0" borderId="0" xfId="0" applyNumberFormat="1"/>
    <xf numFmtId="0" fontId="0" fillId="0" borderId="0" xfId="0" applyFill="1"/>
    <xf numFmtId="0" fontId="4" fillId="9" borderId="2" xfId="0" applyFont="1" applyFill="1" applyBorder="1"/>
    <xf numFmtId="0" fontId="0" fillId="0" borderId="0" xfId="0" applyFill="1" applyBorder="1" applyAlignment="1">
      <alignment horizontal="right"/>
    </xf>
    <xf numFmtId="0" fontId="0" fillId="6" borderId="1" xfId="0" applyFill="1" applyBorder="1" applyProtection="1">
      <protection locked="0"/>
    </xf>
    <xf numFmtId="0" fontId="0" fillId="6" borderId="1" xfId="0" applyNumberFormat="1" applyFill="1" applyBorder="1" applyProtection="1">
      <protection locked="0"/>
    </xf>
    <xf numFmtId="9" fontId="0" fillId="5" borderId="1" xfId="0" applyNumberFormat="1" applyFill="1" applyBorder="1" applyProtection="1">
      <protection locked="0"/>
    </xf>
    <xf numFmtId="0" fontId="0" fillId="5" borderId="1" xfId="0" applyFill="1" applyBorder="1" applyProtection="1">
      <protection locked="0"/>
    </xf>
    <xf numFmtId="0" fontId="0" fillId="0" borderId="0" xfId="0" applyProtection="1">
      <protection locked="0"/>
    </xf>
    <xf numFmtId="0" fontId="0" fillId="0" borderId="0" xfId="0" applyFill="1" applyBorder="1" applyProtection="1">
      <protection locked="0"/>
    </xf>
    <xf numFmtId="0" fontId="0" fillId="0" borderId="0" xfId="0" applyFill="1" applyProtection="1">
      <protection locked="0"/>
    </xf>
    <xf numFmtId="165" fontId="0" fillId="0" borderId="0" xfId="1" applyNumberFormat="1" applyFont="1" applyProtection="1"/>
    <xf numFmtId="166" fontId="0" fillId="0" borderId="0" xfId="0" applyNumberFormat="1"/>
    <xf numFmtId="165" fontId="0" fillId="5" borderId="1" xfId="1" applyNumberFormat="1" applyFont="1" applyFill="1" applyBorder="1" applyProtection="1">
      <protection locked="0"/>
    </xf>
    <xf numFmtId="0" fontId="0" fillId="0" borderId="0" xfId="0" applyAlignment="1">
      <alignment horizontal="left" indent="1"/>
    </xf>
    <xf numFmtId="9" fontId="0" fillId="7" borderId="1" xfId="0" applyNumberFormat="1" applyFill="1" applyBorder="1" applyProtection="1">
      <protection locked="0"/>
    </xf>
    <xf numFmtId="0" fontId="0" fillId="7" borderId="1" xfId="0" applyNumberFormat="1" applyFill="1" applyBorder="1" applyProtection="1">
      <protection locked="0"/>
    </xf>
    <xf numFmtId="0" fontId="0" fillId="0" borderId="1" xfId="0" applyBorder="1" applyAlignment="1" applyProtection="1">
      <alignment horizontal="center"/>
      <protection locked="0"/>
    </xf>
    <xf numFmtId="14" fontId="0" fillId="0" borderId="0" xfId="0" applyNumberFormat="1" applyProtection="1">
      <protection locked="0"/>
    </xf>
    <xf numFmtId="164" fontId="0" fillId="5" borderId="1" xfId="0" applyNumberFormat="1" applyFill="1" applyBorder="1" applyAlignment="1" applyProtection="1">
      <alignment shrinkToFit="1"/>
    </xf>
    <xf numFmtId="14" fontId="0" fillId="0" borderId="0" xfId="0" applyNumberFormat="1"/>
    <xf numFmtId="14" fontId="2" fillId="2" borderId="2" xfId="0" applyNumberFormat="1" applyFont="1" applyFill="1" applyBorder="1"/>
    <xf numFmtId="0" fontId="2" fillId="10" borderId="2" xfId="0" applyFont="1" applyFill="1" applyBorder="1"/>
  </cellXfs>
  <cellStyles count="2">
    <cellStyle name="Comma" xfId="1" builtinId="3"/>
    <cellStyle name="Normal" xfId="0" builtinId="0"/>
  </cellStyles>
  <dxfs count="40">
    <dxf>
      <font>
        <strike/>
        <color theme="1" tint="0.499984740745262"/>
      </font>
      <fill>
        <patternFill>
          <bgColor theme="2"/>
        </patternFill>
      </fill>
    </dxf>
    <dxf>
      <font>
        <strike/>
        <color theme="1" tint="0.499984740745262"/>
      </font>
    </dxf>
    <dxf>
      <font>
        <strike/>
        <color theme="1" tint="0.499984740745262"/>
      </font>
      <fill>
        <patternFill>
          <bgColor theme="2"/>
        </patternFill>
      </fill>
    </dxf>
    <dxf>
      <fill>
        <patternFill>
          <bgColor rgb="FF00B0F0"/>
        </patternFill>
      </fill>
    </dxf>
    <dxf>
      <font>
        <strike/>
        <color theme="1" tint="0.499984740745262"/>
      </font>
      <fill>
        <patternFill>
          <bgColor theme="2"/>
        </patternFill>
      </fill>
    </dxf>
    <dxf>
      <fill>
        <patternFill patternType="none">
          <bgColor auto="1"/>
        </patternFill>
      </fill>
    </dxf>
    <dxf>
      <fill>
        <patternFill>
          <bgColor rgb="FF00B0F0"/>
        </patternFill>
      </fill>
    </dxf>
    <dxf>
      <font>
        <strike/>
        <color theme="1" tint="0.499984740745262"/>
      </font>
      <fill>
        <patternFill>
          <bgColor theme="2"/>
        </patternFill>
      </fill>
    </dxf>
    <dxf>
      <fill>
        <patternFill>
          <bgColor rgb="FF00B0F0"/>
        </patternFill>
      </fill>
    </dxf>
    <dxf>
      <fill>
        <patternFill>
          <bgColor rgb="FF00B0F0"/>
        </patternFill>
      </fill>
    </dxf>
    <dxf>
      <font>
        <strike/>
        <color theme="1" tint="0.499984740745262"/>
      </font>
      <fill>
        <patternFill>
          <bgColor theme="2"/>
        </patternFill>
      </fill>
    </dxf>
    <dxf>
      <font>
        <strike/>
        <color theme="1" tint="0.499984740745262"/>
      </font>
      <fill>
        <patternFill>
          <bgColor theme="2"/>
        </patternFill>
      </fill>
    </dxf>
    <dxf>
      <protection locked="0" hidden="0"/>
    </dxf>
    <dxf>
      <protection locked="0" hidden="0"/>
    </dxf>
    <dxf>
      <protection locked="0" hidden="0"/>
    </dxf>
    <dxf>
      <numFmt numFmtId="165" formatCode="_(* #,##0_);_(* \(#,##0\);_(* &quot;-&quot;??_);_(@_)"/>
      <protection locked="1" hidden="0"/>
    </dxf>
    <dxf>
      <numFmt numFmtId="165" formatCode="_(* #,##0_);_(* \(#,##0\);_(* &quot;-&quot;??_);_(@_)"/>
      <protection locked="1" hidden="0"/>
    </dxf>
    <dxf>
      <font>
        <b val="0"/>
        <i val="0"/>
        <strike val="0"/>
        <condense val="0"/>
        <extend val="0"/>
        <outline val="0"/>
        <shadow val="0"/>
        <u val="none"/>
        <vertAlign val="baseline"/>
        <sz val="11"/>
        <color theme="1"/>
        <name val="Calibri"/>
        <scheme val="minor"/>
      </font>
      <numFmt numFmtId="165" formatCode="_(* #,##0_);_(* \(#,##0\);_(* &quot;-&quot;??_);_(@_)"/>
    </dxf>
    <dxf>
      <numFmt numFmtId="165" formatCode="_(* #,##0_);_(* \(#,##0\);_(* &quot;-&quot;??_);_(@_)"/>
      <protection locked="1" hidden="0"/>
    </dxf>
    <dxf>
      <protection locked="0" hidden="0"/>
    </dxf>
    <dxf>
      <protection locked="0" hidden="0"/>
    </dxf>
    <dxf>
      <numFmt numFmtId="0" formatCode="General"/>
    </dxf>
    <dxf>
      <numFmt numFmtId="165" formatCode="_(* #,##0_);_(* \(#,##0\);_(* &quot;-&quot;??_);_(@_)"/>
      <fill>
        <patternFill patternType="none">
          <fgColor rgb="FF000000"/>
          <bgColor auto="1"/>
        </patternFill>
      </fill>
      <protection locked="1" hidden="0"/>
    </dxf>
    <dxf>
      <fill>
        <patternFill patternType="none">
          <fgColor indexed="64"/>
          <bgColor indexed="65"/>
        </patternFill>
      </fill>
      <protection locked="0" hidden="0"/>
    </dxf>
    <dxf>
      <fill>
        <patternFill patternType="none">
          <fgColor indexed="64"/>
          <bgColor auto="1"/>
        </patternFill>
      </fill>
      <protection locked="0" hidden="0"/>
    </dxf>
    <dxf>
      <fill>
        <patternFill patternType="none">
          <fgColor indexed="64"/>
          <bgColor auto="1"/>
        </patternFill>
      </fill>
      <protection locked="0" hidden="0"/>
    </dxf>
    <dxf>
      <fill>
        <patternFill patternType="none">
          <fgColor rgb="FF000000"/>
          <bgColor auto="1"/>
        </patternFill>
      </fill>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tint="0.79998168889431442"/>
        </patternFill>
      </fill>
      <border>
        <left style="medium">
          <color auto="1"/>
        </left>
        <right style="medium">
          <color auto="1"/>
        </right>
        <top style="medium">
          <color auto="1"/>
        </top>
        <bottom style="medium">
          <color auto="1"/>
        </bottom>
        <vertical style="medium">
          <color auto="1"/>
        </vertical>
      </border>
    </dxf>
    <dxf>
      <fill>
        <patternFill>
          <bgColor theme="4" tint="0.79998168889431442"/>
        </patternFill>
      </fill>
      <border>
        <left style="medium">
          <color auto="1"/>
        </left>
        <right style="medium">
          <color auto="1"/>
        </right>
        <top style="medium">
          <color auto="1"/>
        </top>
        <bottom style="medium">
          <color auto="1"/>
        </bottom>
        <vertical style="medium">
          <color auto="1"/>
        </vertical>
      </border>
    </dxf>
    <dxf>
      <fill>
        <patternFill patternType="none">
          <bgColor auto="1"/>
        </patternFill>
      </fill>
      <border diagonalUp="0" diagonalDown="0">
        <left/>
        <right style="medium">
          <color auto="1"/>
        </right>
        <top/>
        <bottom/>
        <vertical/>
        <horizontal/>
      </border>
    </dxf>
  </dxfs>
  <tableStyles count="1" defaultTableStyle="TableStyleMedium2" defaultPivotStyle="PivotStyleLight16">
    <tableStyle name="Inputs" pivot="0" count="3">
      <tableStyleElement type="firstColumn" dxfId="39"/>
      <tableStyleElement type="firstRowStripe" dxfId="38"/>
      <tableStyleElement type="secondRowStripe" dxfId="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6" fmlaLink="$C$8" horiz="1" max="30" min="1" page="5"/>
</file>

<file path=xl/ctrlProps/ctrlProp2.xml><?xml version="1.0" encoding="utf-8"?>
<formControlPr xmlns="http://schemas.microsoft.com/office/spreadsheetml/2009/9/main" objectType="Scroll" dx="26" fmlaLink="$C$6" horiz="1" max="5" min="1" page="0"/>
</file>

<file path=xl/ctrlProps/ctrlProp3.xml><?xml version="1.0" encoding="utf-8"?>
<formControlPr xmlns="http://schemas.microsoft.com/office/spreadsheetml/2009/9/main" objectType="Scroll" dx="26" fmlaLink="$C$4" horiz="1" max="20" min="1" page="5"/>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V$4" lockText="1" noThreeD="1"/>
</file>

<file path=xl/ctrlProps/ctrlProp6.xml><?xml version="1.0" encoding="utf-8"?>
<formControlPr xmlns="http://schemas.microsoft.com/office/spreadsheetml/2009/9/main" objectType="CheckBox" fmlaLink="$V$5" lockText="1" noThreeD="1"/>
</file>

<file path=xl/ctrlProps/ctrlProp7.xml><?xml version="1.0" encoding="utf-8"?>
<formControlPr xmlns="http://schemas.microsoft.com/office/spreadsheetml/2009/9/main" objectType="CheckBox" checked="Checked" fmlaLink="$V$6" lockText="1" noThreeD="1"/>
</file>

<file path=xl/ctrlProps/ctrlProp8.xml><?xml version="1.0" encoding="utf-8"?>
<formControlPr xmlns="http://schemas.microsoft.com/office/spreadsheetml/2009/9/main" objectType="CheckBox" checked="Checked" fmlaLink="$V$8" lockText="1" noThreeD="1"/>
</file>

<file path=xl/ctrlProps/ctrlProp9.xml><?xml version="1.0" encoding="utf-8"?>
<formControlPr xmlns="http://schemas.microsoft.com/office/spreadsheetml/2009/9/main" objectType="CheckBox" fmlaLink="$V$7"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Spin" dx="26" fmlaLink="$I$10" max="30000" page="10" val="1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106680</xdr:colOff>
          <xdr:row>7</xdr:row>
          <xdr:rowOff>0</xdr:rowOff>
        </xdr:from>
        <xdr:to>
          <xdr:col>6</xdr:col>
          <xdr:colOff>0</xdr:colOff>
          <xdr:row>8</xdr:row>
          <xdr:rowOff>0</xdr:rowOff>
        </xdr:to>
        <xdr:sp macro="" textlink="">
          <xdr:nvSpPr>
            <xdr:cNvPr id="2050" name="Scroll Ba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5</xdr:row>
          <xdr:rowOff>0</xdr:rowOff>
        </xdr:from>
        <xdr:to>
          <xdr:col>6</xdr:col>
          <xdr:colOff>0</xdr:colOff>
          <xdr:row>6</xdr:row>
          <xdr:rowOff>0</xdr:rowOff>
        </xdr:to>
        <xdr:sp macro="" textlink="">
          <xdr:nvSpPr>
            <xdr:cNvPr id="2051" name="Scroll Ba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3</xdr:row>
          <xdr:rowOff>0</xdr:rowOff>
        </xdr:from>
        <xdr:to>
          <xdr:col>6</xdr:col>
          <xdr:colOff>0</xdr:colOff>
          <xdr:row>4</xdr:row>
          <xdr:rowOff>0</xdr:rowOff>
        </xdr:to>
        <xdr:sp macro="" textlink="">
          <xdr:nvSpPr>
            <xdr:cNvPr id="2052" name="Scroll Ba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xdr:row>
          <xdr:rowOff>0</xdr:rowOff>
        </xdr:from>
        <xdr:to>
          <xdr:col>8</xdr:col>
          <xdr:colOff>548640</xdr:colOff>
          <xdr:row>8</xdr:row>
          <xdr:rowOff>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Add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182880</xdr:colOff>
          <xdr:row>3</xdr:row>
          <xdr:rowOff>0</xdr:rowOff>
        </xdr:from>
        <xdr:to>
          <xdr:col>21</xdr:col>
          <xdr:colOff>0</xdr:colOff>
          <xdr:row>4</xdr:row>
          <xdr:rowOff>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allow repairs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182880</xdr:colOff>
          <xdr:row>4</xdr:row>
          <xdr:rowOff>0</xdr:rowOff>
        </xdr:from>
        <xdr:to>
          <xdr:col>21</xdr:col>
          <xdr:colOff>0</xdr:colOff>
          <xdr:row>5</xdr:row>
          <xdr:rowOff>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allow redeploys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182880</xdr:colOff>
          <xdr:row>5</xdr:row>
          <xdr:rowOff>0</xdr:rowOff>
        </xdr:from>
        <xdr:to>
          <xdr:col>21</xdr:col>
          <xdr:colOff>0</xdr:colOff>
          <xdr:row>6</xdr:row>
          <xdr:rowOff>0</xdr:rowOff>
        </xdr:to>
        <xdr:sp macro="" textlink="">
          <xdr:nvSpPr>
            <xdr:cNvPr id="7171" name="Check Box 3" hidden="1">
              <a:extLst>
                <a:ext uri="{63B3BB69-23CF-44E3-9099-C40C66FF867C}">
                  <a14:compatExt spid="_x0000_s71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best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182880</xdr:colOff>
          <xdr:row>7</xdr:row>
          <xdr:rowOff>0</xdr:rowOff>
        </xdr:from>
        <xdr:to>
          <xdr:col>21</xdr:col>
          <xdr:colOff>0</xdr:colOff>
          <xdr:row>8</xdr:row>
          <xdr:rowOff>0</xdr:rowOff>
        </xdr:to>
        <xdr:sp macro="" textlink="">
          <xdr:nvSpPr>
            <xdr:cNvPr id="7172" name="Check Box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EOC replacements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182880</xdr:colOff>
          <xdr:row>6</xdr:row>
          <xdr:rowOff>0</xdr:rowOff>
        </xdr:from>
        <xdr:to>
          <xdr:col>21</xdr:col>
          <xdr:colOff>0</xdr:colOff>
          <xdr:row>7</xdr:row>
          <xdr:rowOff>0</xdr:rowOff>
        </xdr:to>
        <xdr:sp macro="" textlink="">
          <xdr:nvSpPr>
            <xdr:cNvPr id="7173" name="Check Box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early deploy</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60960</xdr:colOff>
          <xdr:row>13</xdr:row>
          <xdr:rowOff>175260</xdr:rowOff>
        </xdr:from>
        <xdr:to>
          <xdr:col>7</xdr:col>
          <xdr:colOff>259080</xdr:colOff>
          <xdr:row>15</xdr:row>
          <xdr:rowOff>0</xdr:rowOff>
        </xdr:to>
        <xdr:sp macro="" textlink="">
          <xdr:nvSpPr>
            <xdr:cNvPr id="7193" name="Button 25" hidden="1">
              <a:extLst>
                <a:ext uri="{63B3BB69-23CF-44E3-9099-C40C66FF867C}">
                  <a14:compatExt spid="_x0000_s7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213360</xdr:colOff>
          <xdr:row>14</xdr:row>
          <xdr:rowOff>0</xdr:rowOff>
        </xdr:from>
        <xdr:to>
          <xdr:col>7</xdr:col>
          <xdr:colOff>60960</xdr:colOff>
          <xdr:row>15</xdr:row>
          <xdr:rowOff>0</xdr:rowOff>
        </xdr:to>
        <xdr:sp macro="" textlink="">
          <xdr:nvSpPr>
            <xdr:cNvPr id="7198" name="Button 30" hidden="1">
              <a:extLst>
                <a:ext uri="{63B3BB69-23CF-44E3-9099-C40C66FF867C}">
                  <a14:compatExt spid="_x0000_s7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60960</xdr:colOff>
          <xdr:row>5</xdr:row>
          <xdr:rowOff>7620</xdr:rowOff>
        </xdr:from>
        <xdr:to>
          <xdr:col>14</xdr:col>
          <xdr:colOff>259080</xdr:colOff>
          <xdr:row>6</xdr:row>
          <xdr:rowOff>0</xdr:rowOff>
        </xdr:to>
        <xdr:sp macro="" textlink="">
          <xdr:nvSpPr>
            <xdr:cNvPr id="7205" name="Button 37" hidden="1">
              <a:extLst>
                <a:ext uri="{63B3BB69-23CF-44E3-9099-C40C66FF867C}">
                  <a14:compatExt spid="_x0000_s7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472440</xdr:colOff>
          <xdr:row>5</xdr:row>
          <xdr:rowOff>7620</xdr:rowOff>
        </xdr:from>
        <xdr:to>
          <xdr:col>14</xdr:col>
          <xdr:colOff>60960</xdr:colOff>
          <xdr:row>6</xdr:row>
          <xdr:rowOff>0</xdr:rowOff>
        </xdr:to>
        <xdr:sp macro="" textlink="">
          <xdr:nvSpPr>
            <xdr:cNvPr id="7206" name="Button 38" hidden="1">
              <a:extLst>
                <a:ext uri="{63B3BB69-23CF-44E3-9099-C40C66FF867C}">
                  <a14:compatExt spid="_x0000_s7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1028700</xdr:colOff>
          <xdr:row>13</xdr:row>
          <xdr:rowOff>0</xdr:rowOff>
        </xdr:from>
        <xdr:to>
          <xdr:col>1</xdr:col>
          <xdr:colOff>1226820</xdr:colOff>
          <xdr:row>14</xdr:row>
          <xdr:rowOff>0</xdr:rowOff>
        </xdr:to>
        <xdr:sp macro="" textlink="">
          <xdr:nvSpPr>
            <xdr:cNvPr id="7207" name="Button 39" hidden="1">
              <a:extLst>
                <a:ext uri="{63B3BB69-23CF-44E3-9099-C40C66FF867C}">
                  <a14:compatExt spid="_x0000_s7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830580</xdr:colOff>
          <xdr:row>13</xdr:row>
          <xdr:rowOff>0</xdr:rowOff>
        </xdr:from>
        <xdr:to>
          <xdr:col>1</xdr:col>
          <xdr:colOff>1028700</xdr:colOff>
          <xdr:row>14</xdr:row>
          <xdr:rowOff>0</xdr:rowOff>
        </xdr:to>
        <xdr:sp macro="" textlink="">
          <xdr:nvSpPr>
            <xdr:cNvPr id="7208" name="Button 40" hidden="1">
              <a:extLst>
                <a:ext uri="{63B3BB69-23CF-44E3-9099-C40C66FF867C}">
                  <a14:compatExt spid="_x0000_s7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220980</xdr:colOff>
          <xdr:row>1</xdr:row>
          <xdr:rowOff>0</xdr:rowOff>
        </xdr:to>
        <xdr:sp macro="" textlink="">
          <xdr:nvSpPr>
            <xdr:cNvPr id="7214" name="Button 46" hidden="1">
              <a:extLst>
                <a:ext uri="{63B3BB69-23CF-44E3-9099-C40C66FF867C}">
                  <a14:compatExt spid="_x0000_s7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xdr:row>
          <xdr:rowOff>0</xdr:rowOff>
        </xdr:from>
        <xdr:to>
          <xdr:col>10</xdr:col>
          <xdr:colOff>121920</xdr:colOff>
          <xdr:row>9</xdr:row>
          <xdr:rowOff>0</xdr:rowOff>
        </xdr:to>
        <xdr:sp macro="" textlink="">
          <xdr:nvSpPr>
            <xdr:cNvPr id="7217" name="Spinner 49" hidden="1">
              <a:extLst>
                <a:ext uri="{63B3BB69-23CF-44E3-9099-C40C66FF867C}">
                  <a14:compatExt spid="_x0000_s7217"/>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queryTables/queryTable1.xml><?xml version="1.0" encoding="utf-8"?>
<queryTable xmlns="http://schemas.openxmlformats.org/spreadsheetml/2006/main" name="main" connectionId="3" autoFormatId="16" applyNumberFormats="0" applyBorderFormats="0" applyFontFormats="0" applyPatternFormats="0" applyAlignmentFormats="0" applyWidthHeightFormats="0">
  <queryTableRefresh nextId="7">
    <queryTableFields count="6">
      <queryTableField id="1" name="model" tableColumnId="1"/>
      <queryTableField id="2" name="model_number" tableColumnId="2"/>
      <queryTableField id="3" name="nameplate" tableColumnId="3"/>
      <queryTableField id="4" name="enclosures" tableColumnId="4"/>
      <queryTableField id="5" name="plus_one" tableColumnId="5"/>
      <queryTableField id="6" name="standard" tableColumnId="6"/>
    </queryTableFields>
  </queryTableRefresh>
</queryTable>
</file>

<file path=xl/queryTables/queryTable2.xml><?xml version="1.0" encoding="utf-8"?>
<queryTable xmlns="http://schemas.openxmlformats.org/spreadsheetml/2006/main" name="main_1" connectionId="2" autoFormatId="16" applyNumberFormats="0" applyBorderFormats="0" applyFontFormats="0" applyPatternFormats="0" applyAlignmentFormats="0" applyWidthHeightFormats="0">
  <queryTableRefresh nextId="7">
    <queryTableFields count="6">
      <queryTableField id="1" name="model" tableColumnId="1"/>
      <queryTableField id="2" name="mark" tableColumnId="2"/>
      <queryTableField id="3" name="model_number" tableColumnId="3"/>
      <queryTableField id="4" name="initial_date" tableColumnId="4"/>
      <queryTableField id="5" name="rating" tableColumnId="5"/>
      <queryTableField id="6" name="stacks" tableColumnId="6"/>
    </queryTableFields>
  </queryTableRefresh>
</queryTable>
</file>

<file path=xl/queryTables/queryTable3.xml><?xml version="1.0" encoding="utf-8"?>
<queryTable xmlns="http://schemas.openxmlformats.org/spreadsheetml/2006/main" name="ExternalData_1" connectionId="7" autoFormatId="0" applyNumberFormats="0" applyBorderFormats="0" applyFontFormats="1" applyPatternFormats="1" applyAlignmentFormats="0" applyWidthHeightFormats="0">
  <queryTableRefresh preserveSortFilterLayout="0" nextId="2">
    <queryTableFields count="1">
      <queryTableField id="1" name="model" tableColumnId="1"/>
    </queryTableFields>
  </queryTableRefresh>
</queryTable>
</file>

<file path=xl/queryTables/queryTable4.xml><?xml version="1.0" encoding="utf-8"?>
<queryTable xmlns="http://schemas.openxmlformats.org/spreadsheetml/2006/main" name="ExternalData_2" connectionId="4" autoFormatId="0" applyNumberFormats="0" applyBorderFormats="0" applyFontFormats="1" applyPatternFormats="1" applyAlignmentFormats="0" applyWidthHeightFormats="0">
  <queryTableRefresh preserveSortFilterLayout="0" nextId="2">
    <queryTableFields count="1">
      <queryTableField id="1" name="model" tableColumnId="1"/>
    </queryTableFields>
  </queryTableRefresh>
</queryTable>
</file>

<file path=xl/queryTables/queryTable5.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model" tableColumnId="1"/>
      <queryTableField id="2" name="model_number" tableColumnId="2"/>
    </queryTableFields>
  </queryTableRefresh>
</queryTable>
</file>

<file path=xl/queryTables/queryTable6.xml><?xml version="1.0" encoding="utf-8"?>
<queryTable xmlns="http://schemas.openxmlformats.org/spreadsheetml/2006/main" name="ExternalData_4" connectionId="5" autoFormatId="0" applyNumberFormats="0" applyBorderFormats="0" applyFontFormats="1" applyPatternFormats="1" applyAlignmentFormats="0" applyWidthHeightFormats="0">
  <queryTableRefresh preserveSortFilterLayout="0" nextId="3">
    <queryTableFields count="2">
      <queryTableField id="1" name="model" tableColumnId="1"/>
      <queryTableField id="2" name="mark" tableColumnId="2"/>
    </queryTableFields>
  </queryTableRefresh>
</queryTable>
</file>

<file path=xl/queryTables/queryTable7.xml><?xml version="1.0" encoding="utf-8"?>
<queryTable xmlns="http://schemas.openxmlformats.org/spreadsheetml/2006/main" name="ExternalData_5" connectionId="6" autoFormatId="0" applyNumberFormats="0" applyBorderFormats="0" applyFontFormats="1" applyPatternFormats="1" applyAlignmentFormats="0" applyWidthHeightFormats="0">
  <queryTableRefresh preserveSortFilterLayout="0" nextId="4">
    <queryTableFields count="3">
      <queryTableField id="1" name="model" tableColumnId="1"/>
      <queryTableField id="2" name="mark" tableColumnId="2"/>
      <queryTableField id="3" name="model_number" tableColumnId="3"/>
    </queryTableFields>
  </queryTableRefresh>
</queryTable>
</file>

<file path=xl/queryTables/queryTable8.xml><?xml version="1.0" encoding="utf-8"?>
<queryTable xmlns="http://schemas.openxmlformats.org/spreadsheetml/2006/main" name="mobunni_apc" connectionId="1" autoFormatId="16" applyNumberFormats="0" applyBorderFormats="0" applyFontFormats="0" applyPatternFormats="0" applyAlignmentFormats="0" applyWidthHeightFormats="0">
  <queryTableRefresh nextId="6">
    <queryTableFields count="4">
      <queryTableField id="1" name="id" tableColumnId="1"/>
      <queryTableField id="2" name="customer" tableColumnId="2"/>
      <queryTableField id="4" name="acceptance_date" tableColumnId="4"/>
      <queryTableField id="5" name="contract" tableColumnId="3"/>
    </queryTableFields>
  </queryTableRefresh>
</queryTable>
</file>

<file path=xl/queryTables/queryTable9.xml><?xml version="1.0" encoding="utf-8"?>
<queryTable xmlns="http://schemas.openxmlformats.org/spreadsheetml/2006/main" name="ExternalData_6" connectionId="9" autoFormatId="0"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5" name="SQL_Servers" displayName="SQL_Servers" ref="F3:K135" tableType="queryTable" totalsRowShown="0">
  <autoFilter ref="F3:K135"/>
  <tableColumns count="6">
    <tableColumn id="1" uniqueName="1" name="model" queryTableFieldId="1"/>
    <tableColumn id="2" uniqueName="2" name="model_number" queryTableFieldId="2"/>
    <tableColumn id="3" uniqueName="3" name="nameplate" queryTableFieldId="3"/>
    <tableColumn id="4" uniqueName="4" name="enclosures" queryTableFieldId="4"/>
    <tableColumn id="5" uniqueName="5" name="plus_one" queryTableFieldId="5"/>
    <tableColumn id="6" uniqueName="6" name="standard" queryTableFieldId="6"/>
  </tableColumns>
  <tableStyleInfo name="TableStyleMedium2" showFirstColumn="0" showLastColumn="0" showRowStripes="1" showColumnStripes="0"/>
</table>
</file>

<file path=xl/tables/table2.xml><?xml version="1.0" encoding="utf-8"?>
<table xmlns="http://schemas.openxmlformats.org/spreadsheetml/2006/main" id="8" name="SQL_Modules" displayName="SQL_Modules" ref="R3:W37" tableType="queryTable" totalsRowShown="0">
  <autoFilter ref="R3:W37"/>
  <tableColumns count="6">
    <tableColumn id="1" uniqueName="1" name="model" queryTableFieldId="1"/>
    <tableColumn id="2" uniqueName="2" name="mark" queryTableFieldId="2"/>
    <tableColumn id="3" uniqueName="3" name="model_number" queryTableFieldId="3"/>
    <tableColumn id="4" uniqueName="4" name="initial_date" queryTableFieldId="4"/>
    <tableColumn id="5" uniqueName="5" name="rating" queryTableFieldId="5"/>
    <tableColumn id="6" uniqueName="6" name="stacks" queryTableFieldId="6"/>
  </tableColumns>
  <tableStyleInfo name="TableStyleMedium2" showFirstColumn="0" showLastColumn="0" showRowStripes="1" showColumnStripes="0"/>
</table>
</file>

<file path=xl/tables/table3.xml><?xml version="1.0" encoding="utf-8"?>
<table xmlns="http://schemas.openxmlformats.org/spreadsheetml/2006/main" id="10" name="SQL_Servers_0" displayName="SQL_Servers_0" ref="M3:M6" tableType="queryTable" totalsRowShown="0">
  <autoFilter ref="M3:M6"/>
  <tableColumns count="1">
    <tableColumn id="1" uniqueName="1" name="model" queryTableFieldId="1" dataDxfId="36"/>
  </tableColumns>
  <tableStyleInfo name="TableStyleMedium7" showFirstColumn="0" showLastColumn="0" showRowStripes="1" showColumnStripes="0"/>
</table>
</file>

<file path=xl/tables/table4.xml><?xml version="1.0" encoding="utf-8"?>
<table xmlns="http://schemas.openxmlformats.org/spreadsheetml/2006/main" id="11" name="SQL_Modules_1" displayName="SQL_Modules_1" ref="Y3:Y8" tableType="queryTable" totalsRowShown="0">
  <autoFilter ref="Y3:Y8"/>
  <tableColumns count="1">
    <tableColumn id="1" uniqueName="1" name="model" queryTableFieldId="1" dataDxfId="35"/>
  </tableColumns>
  <tableStyleInfo name="TableStyleMedium7" showFirstColumn="0" showLastColumn="0" showRowStripes="1" showColumnStripes="0"/>
</table>
</file>

<file path=xl/tables/table5.xml><?xml version="1.0" encoding="utf-8"?>
<table xmlns="http://schemas.openxmlformats.org/spreadsheetml/2006/main" id="4" name="SQL_Servers_2" displayName="SQL_Servers_2" ref="O3:P135" tableType="queryTable" totalsRowShown="0">
  <autoFilter ref="O3:P135"/>
  <tableColumns count="2">
    <tableColumn id="1" uniqueName="1" name="model" queryTableFieldId="1" dataDxfId="34"/>
    <tableColumn id="2" uniqueName="2" name="model_number" queryTableFieldId="2" dataDxfId="33"/>
  </tableColumns>
  <tableStyleInfo name="TableStyleMedium7" showFirstColumn="0" showLastColumn="0" showRowStripes="1" showColumnStripes="0"/>
</table>
</file>

<file path=xl/tables/table6.xml><?xml version="1.0" encoding="utf-8"?>
<table xmlns="http://schemas.openxmlformats.org/spreadsheetml/2006/main" id="6" name="SQL_Modules_2" displayName="SQL_Modules_2" ref="AA3:AB16" tableType="queryTable" totalsRowShown="0">
  <autoFilter ref="AA3:AB16"/>
  <tableColumns count="2">
    <tableColumn id="1" uniqueName="1" name="model" queryTableFieldId="1" dataDxfId="32"/>
    <tableColumn id="2" uniqueName="2" name="mark" queryTableFieldId="2" dataDxfId="31"/>
  </tableColumns>
  <tableStyleInfo name="TableStyleMedium7" showFirstColumn="0" showLastColumn="0" showRowStripes="1" showColumnStripes="0"/>
</table>
</file>

<file path=xl/tables/table7.xml><?xml version="1.0" encoding="utf-8"?>
<table xmlns="http://schemas.openxmlformats.org/spreadsheetml/2006/main" id="9" name="SQL_Modules_3" displayName="SQL_Modules_3" ref="AD3:AF37" tableType="queryTable" totalsRowShown="0">
  <autoFilter ref="AD3:AF37"/>
  <tableColumns count="3">
    <tableColumn id="1" uniqueName="1" name="model" queryTableFieldId="1" dataDxfId="30"/>
    <tableColumn id="2" uniqueName="2" name="mark" queryTableFieldId="2" dataDxfId="29"/>
    <tableColumn id="3" uniqueName="3" name="model_number" queryTableFieldId="3" dataDxfId="28"/>
  </tableColumns>
  <tableStyleInfo name="TableStyleMedium7" showFirstColumn="0" showLastColumn="0" showRowStripes="1" showColumnStripes="0"/>
</table>
</file>

<file path=xl/tables/table8.xml><?xml version="1.0" encoding="utf-8"?>
<table xmlns="http://schemas.openxmlformats.org/spreadsheetml/2006/main" id="13" name="SQL_Sites" displayName="SQL_Sites" ref="AJ3:AM667" tableType="queryTable" totalsRowShown="0">
  <autoFilter ref="AJ3:AM667"/>
  <tableColumns count="4">
    <tableColumn id="1" uniqueName="1" name="id" queryTableFieldId="1"/>
    <tableColumn id="2" uniqueName="2" name="customer" queryTableFieldId="2"/>
    <tableColumn id="4" uniqueName="4" name="acceptance_date" queryTableFieldId="4"/>
    <tableColumn id="3" uniqueName="3" name="contract" queryTableFieldId="5"/>
  </tableColumns>
  <tableStyleInfo name="TableStyleMedium2" showFirstColumn="0" showLastColumn="0" showRowStripes="1" showColumnStripes="0"/>
</table>
</file>

<file path=xl/tables/table9.xml><?xml version="1.0" encoding="utf-8"?>
<table xmlns="http://schemas.openxmlformats.org/spreadsheetml/2006/main" id="14" name="SQL_Sites_1" displayName="SQL_Sites_1" ref="AH3:AH667" tableType="queryTable" totalsRowShown="0">
  <autoFilter ref="AH3:AH667"/>
  <tableColumns count="1">
    <tableColumn id="1" uniqueName="1" name="id" queryTableFieldId="1" dataDxfId="27"/>
  </tableColumns>
  <tableStyleInfo name="TableStyleMedium7" showFirstColumn="0" showLastColumn="0" showRowStripes="1" showColumnStripes="0"/>
</table>
</file>

<file path=xl/tables/table10.xml><?xml version="1.0" encoding="utf-8"?>
<table xmlns="http://schemas.openxmlformats.org/spreadsheetml/2006/main" id="19" name="Contracts" displayName="Contracts" ref="D3:D5" totalsRowShown="0">
  <autoFilter ref="D3:D5"/>
  <tableColumns count="1">
    <tableColumn id="1" name="types"/>
  </tableColumns>
  <tableStyleInfo name="TableStyleMedium2" showFirstColumn="0" showLastColumn="0" showRowStripes="1" showColumnStripes="0"/>
</table>
</file>

<file path=xl/tables/table11.xml><?xml version="1.0" encoding="utf-8"?>
<table xmlns="http://schemas.openxmlformats.org/spreadsheetml/2006/main" id="7" name="Years" displayName="Years" ref="B3:B33" totalsRowShown="0">
  <autoFilter ref="B3:B33"/>
  <tableColumns count="1">
    <tableColumn id="1" name="n">
      <calculatedColumnFormula>ROW()-ROW(Years[[#Headers],[n]])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 name="Roadmap" displayName="Roadmap" ref="P5:S6" totalsRowShown="0" dataDxfId="26">
  <autoFilter ref="P5:S6">
    <filterColumn colId="0" hiddenButton="1"/>
    <filterColumn colId="1" hiddenButton="1"/>
    <filterColumn colId="2" hiddenButton="1"/>
    <filterColumn colId="3" hiddenButton="1"/>
  </autoFilter>
  <tableColumns count="4">
    <tableColumn id="1" name="model" dataDxfId="25"/>
    <tableColumn id="2" name="mark" dataDxfId="24"/>
    <tableColumn id="3" name="model number" dataDxfId="23"/>
    <tableColumn id="4" name="rating" dataDxfId="22" dataCellStyle="Comma">
      <calculatedColumnFormula>SUMIFS(SQL_Modules[rating], SQL_Modules[model], Roadmap[[#This Row],[model]], SQL_Modules[mark], Roadmap[[#This Row],[mark]], SQL_Modules[model_number], Roadmap[[#This Row],[model number]])</calculatedColumnFormula>
    </tableColumn>
  </tableColumns>
  <tableStyleInfo name="Inputs" showFirstColumn="0" showLastColumn="0" showRowStripes="1" showColumnStripes="0"/>
</table>
</file>

<file path=xl/tables/table13.xml><?xml version="1.0" encoding="utf-8"?>
<table xmlns="http://schemas.openxmlformats.org/spreadsheetml/2006/main" id="2" name="NewServers" displayName="NewServers" ref="I14:N16" totalsRowCount="1">
  <autoFilter ref="I14:N15">
    <filterColumn colId="0" hiddenButton="1"/>
    <filterColumn colId="1" hiddenButton="1"/>
    <filterColumn colId="2" hiddenButton="1"/>
    <filterColumn colId="3" hiddenButton="1"/>
    <filterColumn colId="4" hiddenButton="1"/>
    <filterColumn colId="5" hiddenButton="1"/>
  </autoFilter>
  <tableColumns count="6">
    <tableColumn id="1" name="server number" totalsRowLabel="total" dataDxfId="21">
      <calculatedColumnFormula>ROW()-ROW(NewServers[[#Headers],[server number]])</calculatedColumnFormula>
    </tableColumn>
    <tableColumn id="2" name="model" dataDxfId="20"/>
    <tableColumn id="3" name="model number" dataDxfId="19"/>
    <tableColumn id="4" name="nameplate" totalsRowFunction="custom" dataDxfId="18" totalsRowDxfId="17" dataCellStyle="Comma">
      <calculatedColumnFormula>SUMIFS(SQL_Servers[nameplate], SQL_Servers[model], NewServers[[#This Row],[model]], SQL_Servers[model_number], NewServers[[#This Row],[model number]])</calculatedColumnFormula>
      <totalsRowFormula>SUM(NewServers[nameplate])</totalsRowFormula>
    </tableColumn>
    <tableColumn id="5" name="filled" dataDxfId="16" dataCellStyle="Comma">
      <calculatedColumnFormula>SUMIFS(SQL_Servers[enclosures], SQL_Servers[model], NewServers[[#This Row],[model]], SQL_Servers[model_number], NewServers[[#This Row],[model number]])</calculatedColumnFormula>
    </tableColumn>
    <tableColumn id="6" name="empty" dataDxfId="15" dataCellStyle="Comma">
      <calculatedColumnFormula>SUMIFS(SQL_Servers[plus_one], SQL_Servers[model], NewServers[[#This Row],[model]], SQL_Servers[model_number], NewServers[[#This Row],[model number]])</calculatedColumnFormula>
    </tableColumn>
  </tableColumns>
  <tableStyleInfo name="Inputs" showFirstColumn="1" showLastColumn="0" showRowStripes="1" showColumnStripes="0"/>
</table>
</file>

<file path=xl/tables/table14.xml><?xml version="1.0" encoding="utf-8"?>
<table xmlns="http://schemas.openxmlformats.org/spreadsheetml/2006/main" id="3" name="NonReplace" displayName="NonReplace" ref="C13:D14" totalsRowShown="0" dataDxfId="14">
  <autoFilter ref="C13:D14">
    <filterColumn colId="0" hiddenButton="1"/>
    <filterColumn colId="1" hiddenButton="1"/>
  </autoFilter>
  <tableColumns count="2">
    <tableColumn id="1" name="start" dataDxfId="13"/>
    <tableColumn id="2" name="end" dataDxfId="12"/>
  </tableColumns>
  <tableStyleInfo name="Inputs"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table" Target="../tables/table13.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table" Target="../tables/table12.xml"/><Relationship Id="rId2" Type="http://schemas.openxmlformats.org/officeDocument/2006/relationships/drawing" Target="../drawings/drawing2.xml"/><Relationship Id="rId16" Type="http://schemas.openxmlformats.org/officeDocument/2006/relationships/ctrlProp" Target="../ctrlProps/ctrlProp17.xml"/><Relationship Id="rId20" Type="http://schemas.openxmlformats.org/officeDocument/2006/relationships/comments" Target="../comments2.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tails">
    <tabColor rgb="FFC00000"/>
  </sheetPr>
  <dimension ref="B2:I8"/>
  <sheetViews>
    <sheetView showGridLines="0" showRowColHeaders="0" zoomScaleNormal="100" workbookViewId="0">
      <selection activeCell="C4" sqref="C4"/>
    </sheetView>
  </sheetViews>
  <sheetFormatPr defaultRowHeight="14.4" x14ac:dyDescent="0.3"/>
  <cols>
    <col min="2" max="2" width="15.6640625" bestFit="1" customWidth="1"/>
    <col min="3" max="3" width="6" customWidth="1"/>
  </cols>
  <sheetData>
    <row r="2" spans="2:9" ht="15" thickBot="1" x14ac:dyDescent="0.35">
      <c r="B2" s="9" t="s">
        <v>4</v>
      </c>
      <c r="C2" s="10"/>
      <c r="D2" s="1"/>
      <c r="E2" s="1"/>
    </row>
    <row r="3" spans="2:9" ht="15.6" thickTop="1" thickBot="1" x14ac:dyDescent="0.35"/>
    <row r="4" spans="2:9" ht="15" thickBot="1" x14ac:dyDescent="0.35">
      <c r="B4" s="7" t="s">
        <v>1051</v>
      </c>
      <c r="C4" s="30">
        <v>1</v>
      </c>
    </row>
    <row r="5" spans="2:9" ht="15" thickBot="1" x14ac:dyDescent="0.35"/>
    <row r="6" spans="2:9" ht="15" thickBot="1" x14ac:dyDescent="0.35">
      <c r="B6" s="7" t="s">
        <v>1053</v>
      </c>
      <c r="C6" s="30">
        <v>1</v>
      </c>
    </row>
    <row r="7" spans="2:9" ht="15" thickBot="1" x14ac:dyDescent="0.35"/>
    <row r="8" spans="2:9" ht="15" thickBot="1" x14ac:dyDescent="0.35">
      <c r="B8" s="7" t="s">
        <v>1052</v>
      </c>
      <c r="C8" s="30">
        <v>1</v>
      </c>
    </row>
  </sheetData>
  <sheetProtection sheet="1" selectLockedCells="1"/>
  <conditionalFormatting sqref="C6">
    <cfRule type="expression" dxfId="11" priority="1">
      <formula>n_sites&lt;=1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Scroll Bar 2">
              <controlPr defaultSize="0" autoPict="0">
                <anchor moveWithCells="1">
                  <from>
                    <xdr:col>3</xdr:col>
                    <xdr:colOff>106680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2051" r:id="rId4" name="Scroll Bar 3">
              <controlPr defaultSize="0" autoPict="0">
                <anchor moveWithCells="1">
                  <from>
                    <xdr:col>3</xdr:col>
                    <xdr:colOff>106680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2052" r:id="rId5" name="Scroll Bar 4">
              <controlPr defaultSize="0" autoPict="0">
                <anchor moveWithCells="1">
                  <from>
                    <xdr:col>3</xdr:col>
                    <xdr:colOff>106680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053" r:id="rId6" name="Button 5">
              <controlPr defaultSize="0" print="0" autoFill="0" autoPict="0" macro="[0]!Create_Scenario">
                <anchor moveWithCells="1" sizeWithCells="1">
                  <from>
                    <xdr:col>7</xdr:col>
                    <xdr:colOff>0</xdr:colOff>
                    <xdr:row>3</xdr:row>
                    <xdr:rowOff>0</xdr:rowOff>
                  </from>
                  <to>
                    <xdr:col>8</xdr:col>
                    <xdr:colOff>548640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brary">
    <tabColor rgb="FF7030A0"/>
  </sheetPr>
  <dimension ref="B2:AM767"/>
  <sheetViews>
    <sheetView workbookViewId="0">
      <selection activeCell="D14" sqref="D14"/>
    </sheetView>
  </sheetViews>
  <sheetFormatPr defaultRowHeight="14.4" x14ac:dyDescent="0.3"/>
  <cols>
    <col min="4" max="4" width="10.44140625" customWidth="1"/>
    <col min="6" max="6" width="9.44140625" customWidth="1"/>
    <col min="7" max="7" width="16.33203125" customWidth="1"/>
    <col min="8" max="8" width="12.21875" customWidth="1"/>
    <col min="9" max="9" width="12.109375" customWidth="1"/>
    <col min="10" max="10" width="10.88671875" customWidth="1"/>
    <col min="11" max="11" width="10.6640625" customWidth="1"/>
    <col min="13" max="13" width="9.33203125" customWidth="1"/>
    <col min="15" max="15" width="9.33203125" customWidth="1"/>
    <col min="16" max="16" width="16.33203125" customWidth="1"/>
    <col min="18" max="18" width="9.44140625" customWidth="1"/>
    <col min="19" max="19" width="7.5546875" customWidth="1"/>
    <col min="20" max="20" width="16.33203125" customWidth="1"/>
    <col min="21" max="21" width="12.5546875" customWidth="1"/>
    <col min="22" max="22" width="8.109375" customWidth="1"/>
    <col min="23" max="23" width="8.33203125" customWidth="1"/>
    <col min="25" max="25" width="9.33203125" bestFit="1" customWidth="1"/>
    <col min="27" max="27" width="9.33203125" customWidth="1"/>
    <col min="28" max="28" width="7.5546875" customWidth="1"/>
    <col min="30" max="30" width="9.33203125" customWidth="1"/>
    <col min="31" max="31" width="7.5546875" customWidth="1"/>
    <col min="32" max="32" width="16.33203125" customWidth="1"/>
    <col min="34" max="35" width="10" bestFit="1" customWidth="1"/>
    <col min="36" max="36" width="10.109375" customWidth="1"/>
    <col min="37" max="37" width="44.109375" customWidth="1"/>
    <col min="38" max="38" width="17.6640625" customWidth="1"/>
    <col min="39" max="39" width="15.33203125" customWidth="1"/>
    <col min="40" max="40" width="17.109375" bestFit="1" customWidth="1"/>
    <col min="41" max="41" width="8.5546875" customWidth="1"/>
  </cols>
  <sheetData>
    <row r="2" spans="2:39" x14ac:dyDescent="0.3">
      <c r="B2" t="s">
        <v>1050</v>
      </c>
      <c r="D2" t="s">
        <v>1047</v>
      </c>
      <c r="F2" t="s">
        <v>226</v>
      </c>
      <c r="M2" t="s">
        <v>225</v>
      </c>
      <c r="O2" t="s">
        <v>227</v>
      </c>
      <c r="R2" t="s">
        <v>223</v>
      </c>
      <c r="Y2" t="s">
        <v>228</v>
      </c>
      <c r="AA2" t="s">
        <v>229</v>
      </c>
      <c r="AD2" t="s">
        <v>230</v>
      </c>
      <c r="AH2" t="s">
        <v>1027</v>
      </c>
      <c r="AJ2" t="s">
        <v>1026</v>
      </c>
      <c r="AL2" s="33"/>
      <c r="AM2" s="33"/>
    </row>
    <row r="3" spans="2:39" x14ac:dyDescent="0.3">
      <c r="B3" t="s">
        <v>1049</v>
      </c>
      <c r="D3" t="s">
        <v>1048</v>
      </c>
      <c r="F3" t="s">
        <v>5</v>
      </c>
      <c r="G3" t="s">
        <v>171</v>
      </c>
      <c r="H3" t="s">
        <v>146</v>
      </c>
      <c r="I3" t="s">
        <v>172</v>
      </c>
      <c r="J3" t="s">
        <v>173</v>
      </c>
      <c r="K3" t="s">
        <v>174</v>
      </c>
      <c r="M3" s="13" t="s">
        <v>5</v>
      </c>
      <c r="O3" s="13" t="s">
        <v>5</v>
      </c>
      <c r="P3" s="13" t="s">
        <v>171</v>
      </c>
      <c r="R3" t="s">
        <v>5</v>
      </c>
      <c r="S3" t="s">
        <v>6</v>
      </c>
      <c r="T3" t="s">
        <v>171</v>
      </c>
      <c r="U3" t="s">
        <v>176</v>
      </c>
      <c r="V3" t="s">
        <v>139</v>
      </c>
      <c r="W3" t="s">
        <v>177</v>
      </c>
      <c r="Y3" s="13" t="s">
        <v>5</v>
      </c>
      <c r="AA3" s="13" t="s">
        <v>5</v>
      </c>
      <c r="AB3" s="13" t="s">
        <v>6</v>
      </c>
      <c r="AD3" s="13" t="s">
        <v>5</v>
      </c>
      <c r="AE3" s="13" t="s">
        <v>6</v>
      </c>
      <c r="AF3" s="13" t="s">
        <v>171</v>
      </c>
      <c r="AH3" s="13" t="s">
        <v>231</v>
      </c>
      <c r="AI3" s="13"/>
      <c r="AJ3" t="s">
        <v>231</v>
      </c>
      <c r="AK3" t="s">
        <v>232</v>
      </c>
      <c r="AL3" t="s">
        <v>1029</v>
      </c>
      <c r="AM3" t="s">
        <v>1031</v>
      </c>
    </row>
    <row r="4" spans="2:39" x14ac:dyDescent="0.3">
      <c r="B4">
        <f>ROW()-ROW(Years[[#Headers],[n]])</f>
        <v>1</v>
      </c>
      <c r="D4" t="s">
        <v>1030</v>
      </c>
      <c r="F4" t="s">
        <v>7</v>
      </c>
      <c r="G4" t="s">
        <v>8</v>
      </c>
      <c r="H4">
        <v>300</v>
      </c>
      <c r="I4">
        <v>6</v>
      </c>
      <c r="J4">
        <v>0</v>
      </c>
      <c r="K4">
        <v>0</v>
      </c>
      <c r="M4" s="13" t="s">
        <v>111</v>
      </c>
      <c r="O4" s="13" t="s">
        <v>111</v>
      </c>
      <c r="P4" s="13" t="s">
        <v>122</v>
      </c>
      <c r="R4" t="s">
        <v>111</v>
      </c>
      <c r="S4" t="s">
        <v>143</v>
      </c>
      <c r="T4" t="s">
        <v>143</v>
      </c>
      <c r="U4" t="s">
        <v>178</v>
      </c>
      <c r="V4">
        <v>45</v>
      </c>
      <c r="W4" t="s">
        <v>179</v>
      </c>
      <c r="Y4" s="13" t="s">
        <v>111</v>
      </c>
      <c r="AA4" s="13" t="s">
        <v>111</v>
      </c>
      <c r="AB4" s="13" t="s">
        <v>143</v>
      </c>
      <c r="AD4" s="13" t="s">
        <v>111</v>
      </c>
      <c r="AE4" s="13" t="s">
        <v>143</v>
      </c>
      <c r="AF4" s="13" t="s">
        <v>143</v>
      </c>
      <c r="AH4" s="13" t="s">
        <v>674</v>
      </c>
      <c r="AI4" s="13"/>
      <c r="AJ4" t="s">
        <v>233</v>
      </c>
      <c r="AK4" t="s">
        <v>234</v>
      </c>
      <c r="AL4">
        <v>43736</v>
      </c>
      <c r="AM4" t="s">
        <v>1032</v>
      </c>
    </row>
    <row r="5" spans="2:39" x14ac:dyDescent="0.3">
      <c r="B5">
        <f>ROW()-ROW(Years[[#Headers],[n]])</f>
        <v>2</v>
      </c>
      <c r="D5" t="s">
        <v>1046</v>
      </c>
      <c r="F5" t="s">
        <v>7</v>
      </c>
      <c r="G5" t="s">
        <v>9</v>
      </c>
      <c r="H5">
        <v>300</v>
      </c>
      <c r="I5">
        <v>6</v>
      </c>
      <c r="J5">
        <v>1</v>
      </c>
      <c r="K5">
        <v>0</v>
      </c>
      <c r="M5" s="13" t="s">
        <v>7</v>
      </c>
      <c r="O5" s="13" t="s">
        <v>111</v>
      </c>
      <c r="P5" s="13" t="s">
        <v>123</v>
      </c>
      <c r="R5" t="s">
        <v>7</v>
      </c>
      <c r="S5" t="s">
        <v>140</v>
      </c>
      <c r="T5" t="s">
        <v>180</v>
      </c>
      <c r="U5" t="s">
        <v>181</v>
      </c>
      <c r="V5">
        <v>50</v>
      </c>
      <c r="W5" t="s">
        <v>182</v>
      </c>
      <c r="Y5" s="13" t="s">
        <v>7</v>
      </c>
      <c r="AA5" s="13" t="s">
        <v>144</v>
      </c>
      <c r="AB5" s="13" t="s">
        <v>140</v>
      </c>
      <c r="AD5" s="13" t="s">
        <v>111</v>
      </c>
      <c r="AE5" s="13" t="s">
        <v>143</v>
      </c>
      <c r="AF5" s="13" t="s">
        <v>222</v>
      </c>
      <c r="AH5" s="13" t="s">
        <v>670</v>
      </c>
      <c r="AI5" s="13"/>
      <c r="AJ5" t="s">
        <v>235</v>
      </c>
      <c r="AK5" t="s">
        <v>236</v>
      </c>
      <c r="AL5">
        <v>43697</v>
      </c>
      <c r="AM5" t="s">
        <v>1033</v>
      </c>
    </row>
    <row r="6" spans="2:39" x14ac:dyDescent="0.3">
      <c r="B6">
        <f>ROW()-ROW(Years[[#Headers],[n]])</f>
        <v>3</v>
      </c>
      <c r="F6" t="s">
        <v>7</v>
      </c>
      <c r="G6" t="s">
        <v>10</v>
      </c>
      <c r="H6">
        <v>300</v>
      </c>
      <c r="I6">
        <v>6</v>
      </c>
      <c r="J6">
        <v>1</v>
      </c>
      <c r="K6">
        <v>0</v>
      </c>
      <c r="M6" s="13" t="s">
        <v>132</v>
      </c>
      <c r="O6" s="13" t="s">
        <v>111</v>
      </c>
      <c r="P6" s="13" t="s">
        <v>120</v>
      </c>
      <c r="R6" t="s">
        <v>132</v>
      </c>
      <c r="S6" t="s">
        <v>140</v>
      </c>
      <c r="T6" t="s">
        <v>180</v>
      </c>
      <c r="U6" t="s">
        <v>183</v>
      </c>
      <c r="V6">
        <v>75</v>
      </c>
      <c r="W6" t="s">
        <v>182</v>
      </c>
      <c r="Y6" s="13" t="s">
        <v>132</v>
      </c>
      <c r="AA6" s="13" t="s">
        <v>144</v>
      </c>
      <c r="AB6" s="13" t="s">
        <v>143</v>
      </c>
      <c r="AD6" s="13" t="s">
        <v>144</v>
      </c>
      <c r="AE6" s="13" t="s">
        <v>140</v>
      </c>
      <c r="AF6" s="13" t="s">
        <v>140</v>
      </c>
      <c r="AH6" s="13" t="s">
        <v>391</v>
      </c>
      <c r="AI6" s="13"/>
      <c r="AJ6" t="s">
        <v>237</v>
      </c>
      <c r="AK6" t="s">
        <v>238</v>
      </c>
      <c r="AL6">
        <v>43689</v>
      </c>
      <c r="AM6" t="s">
        <v>1034</v>
      </c>
    </row>
    <row r="7" spans="2:39" x14ac:dyDescent="0.3">
      <c r="B7">
        <f>ROW()-ROW(Years[[#Headers],[n]])</f>
        <v>4</v>
      </c>
      <c r="F7" t="s">
        <v>7</v>
      </c>
      <c r="G7" t="s">
        <v>11</v>
      </c>
      <c r="H7">
        <v>300</v>
      </c>
      <c r="I7">
        <v>6</v>
      </c>
      <c r="J7">
        <v>0</v>
      </c>
      <c r="K7">
        <v>0</v>
      </c>
      <c r="O7" s="13" t="s">
        <v>111</v>
      </c>
      <c r="P7" s="13" t="s">
        <v>121</v>
      </c>
      <c r="R7" t="s">
        <v>132</v>
      </c>
      <c r="S7" t="s">
        <v>143</v>
      </c>
      <c r="T7" t="s">
        <v>184</v>
      </c>
      <c r="U7" t="s">
        <v>185</v>
      </c>
      <c r="V7">
        <v>85</v>
      </c>
      <c r="W7" t="s">
        <v>182</v>
      </c>
      <c r="Y7" s="13" t="s">
        <v>144</v>
      </c>
      <c r="AA7" s="13" t="s">
        <v>145</v>
      </c>
      <c r="AB7" s="13" t="s">
        <v>140</v>
      </c>
      <c r="AD7" s="13" t="s">
        <v>144</v>
      </c>
      <c r="AE7" s="13" t="s">
        <v>143</v>
      </c>
      <c r="AF7" s="13" t="s">
        <v>143</v>
      </c>
      <c r="AH7" s="13" t="s">
        <v>681</v>
      </c>
      <c r="AI7" s="13"/>
      <c r="AJ7" t="s">
        <v>239</v>
      </c>
      <c r="AK7" t="s">
        <v>238</v>
      </c>
      <c r="AL7">
        <v>43696</v>
      </c>
      <c r="AM7" t="s">
        <v>1034</v>
      </c>
    </row>
    <row r="8" spans="2:39" x14ac:dyDescent="0.3">
      <c r="B8">
        <f>ROW()-ROW(Years[[#Headers],[n]])</f>
        <v>5</v>
      </c>
      <c r="F8" t="s">
        <v>7</v>
      </c>
      <c r="G8" t="s">
        <v>12</v>
      </c>
      <c r="H8">
        <v>300</v>
      </c>
      <c r="I8">
        <v>6</v>
      </c>
      <c r="J8">
        <v>1</v>
      </c>
      <c r="K8">
        <v>1</v>
      </c>
      <c r="O8" s="13" t="s">
        <v>111</v>
      </c>
      <c r="P8" s="13" t="s">
        <v>126</v>
      </c>
      <c r="R8" t="s">
        <v>132</v>
      </c>
      <c r="S8" t="s">
        <v>186</v>
      </c>
      <c r="T8" t="s">
        <v>187</v>
      </c>
      <c r="U8" t="s">
        <v>188</v>
      </c>
      <c r="V8">
        <v>100</v>
      </c>
      <c r="W8" t="s">
        <v>182</v>
      </c>
      <c r="Y8" s="13" t="s">
        <v>145</v>
      </c>
      <c r="AA8" s="13" t="s">
        <v>145</v>
      </c>
      <c r="AB8" s="13" t="s">
        <v>143</v>
      </c>
      <c r="AD8" s="13" t="s">
        <v>145</v>
      </c>
      <c r="AE8" s="13" t="s">
        <v>140</v>
      </c>
      <c r="AF8" s="13" t="s">
        <v>140</v>
      </c>
      <c r="AH8" s="13" t="s">
        <v>1005</v>
      </c>
      <c r="AI8" s="13"/>
      <c r="AJ8" t="s">
        <v>240</v>
      </c>
      <c r="AK8" t="s">
        <v>241</v>
      </c>
      <c r="AL8">
        <v>43686</v>
      </c>
      <c r="AM8" t="s">
        <v>1032</v>
      </c>
    </row>
    <row r="9" spans="2:39" x14ac:dyDescent="0.3">
      <c r="B9">
        <f>ROW()-ROW(Years[[#Headers],[n]])</f>
        <v>6</v>
      </c>
      <c r="F9" t="s">
        <v>7</v>
      </c>
      <c r="G9" t="s">
        <v>13</v>
      </c>
      <c r="H9">
        <v>300</v>
      </c>
      <c r="I9">
        <v>6</v>
      </c>
      <c r="J9">
        <v>1</v>
      </c>
      <c r="K9">
        <v>0</v>
      </c>
      <c r="O9" s="13" t="s">
        <v>111</v>
      </c>
      <c r="P9" s="13" t="s">
        <v>127</v>
      </c>
      <c r="R9" t="s">
        <v>132</v>
      </c>
      <c r="S9" t="s">
        <v>189</v>
      </c>
      <c r="T9" t="s">
        <v>190</v>
      </c>
      <c r="U9" t="s">
        <v>191</v>
      </c>
      <c r="V9">
        <v>110</v>
      </c>
      <c r="W9" t="s">
        <v>182</v>
      </c>
      <c r="AA9" s="13" t="s">
        <v>132</v>
      </c>
      <c r="AB9" s="13" t="s">
        <v>140</v>
      </c>
      <c r="AD9" s="13" t="s">
        <v>145</v>
      </c>
      <c r="AE9" s="13" t="s">
        <v>143</v>
      </c>
      <c r="AF9" s="13" t="s">
        <v>143</v>
      </c>
      <c r="AH9" s="13" t="s">
        <v>677</v>
      </c>
      <c r="AI9" s="13"/>
      <c r="AJ9" t="s">
        <v>242</v>
      </c>
      <c r="AK9" t="s">
        <v>238</v>
      </c>
      <c r="AL9">
        <v>43681</v>
      </c>
      <c r="AM9" t="s">
        <v>1034</v>
      </c>
    </row>
    <row r="10" spans="2:39" x14ac:dyDescent="0.3">
      <c r="B10">
        <f>ROW()-ROW(Years[[#Headers],[n]])</f>
        <v>7</v>
      </c>
      <c r="F10" t="s">
        <v>7</v>
      </c>
      <c r="G10" t="s">
        <v>14</v>
      </c>
      <c r="H10">
        <v>300</v>
      </c>
      <c r="I10">
        <v>6</v>
      </c>
      <c r="J10">
        <v>1</v>
      </c>
      <c r="K10">
        <v>0</v>
      </c>
      <c r="O10" s="13" t="s">
        <v>111</v>
      </c>
      <c r="P10" s="13" t="s">
        <v>124</v>
      </c>
      <c r="R10" t="s">
        <v>132</v>
      </c>
      <c r="S10" t="s">
        <v>192</v>
      </c>
      <c r="T10" t="s">
        <v>193</v>
      </c>
      <c r="U10" t="s">
        <v>194</v>
      </c>
      <c r="V10">
        <v>120</v>
      </c>
      <c r="W10" t="s">
        <v>182</v>
      </c>
      <c r="AA10" s="13" t="s">
        <v>132</v>
      </c>
      <c r="AB10" s="13" t="s">
        <v>143</v>
      </c>
      <c r="AD10" s="13" t="s">
        <v>132</v>
      </c>
      <c r="AE10" s="13" t="s">
        <v>140</v>
      </c>
      <c r="AF10" s="13" t="s">
        <v>140</v>
      </c>
      <c r="AH10" s="13" t="s">
        <v>287</v>
      </c>
      <c r="AI10" s="13"/>
      <c r="AJ10" t="s">
        <v>243</v>
      </c>
      <c r="AK10" t="s">
        <v>238</v>
      </c>
      <c r="AL10">
        <v>43681</v>
      </c>
      <c r="AM10" t="s">
        <v>1034</v>
      </c>
    </row>
    <row r="11" spans="2:39" x14ac:dyDescent="0.3">
      <c r="B11">
        <f>ROW()-ROW(Years[[#Headers],[n]])</f>
        <v>8</v>
      </c>
      <c r="F11" t="s">
        <v>7</v>
      </c>
      <c r="G11" t="s">
        <v>15</v>
      </c>
      <c r="H11">
        <v>250</v>
      </c>
      <c r="I11">
        <v>5</v>
      </c>
      <c r="J11">
        <v>1</v>
      </c>
      <c r="K11">
        <v>0</v>
      </c>
      <c r="O11" s="13" t="s">
        <v>111</v>
      </c>
      <c r="P11" s="13" t="s">
        <v>125</v>
      </c>
      <c r="R11" t="s">
        <v>132</v>
      </c>
      <c r="S11" t="s">
        <v>195</v>
      </c>
      <c r="T11" t="s">
        <v>196</v>
      </c>
      <c r="U11" t="s">
        <v>197</v>
      </c>
      <c r="V11">
        <v>125</v>
      </c>
      <c r="W11" t="s">
        <v>182</v>
      </c>
      <c r="AA11" s="13" t="s">
        <v>132</v>
      </c>
      <c r="AB11" s="13" t="s">
        <v>186</v>
      </c>
      <c r="AD11" s="13" t="s">
        <v>132</v>
      </c>
      <c r="AE11" s="13" t="s">
        <v>140</v>
      </c>
      <c r="AF11" s="13" t="s">
        <v>198</v>
      </c>
      <c r="AH11" s="13" t="s">
        <v>724</v>
      </c>
      <c r="AI11" s="13"/>
      <c r="AJ11" t="s">
        <v>244</v>
      </c>
      <c r="AK11" t="s">
        <v>245</v>
      </c>
      <c r="AL11">
        <v>43650</v>
      </c>
      <c r="AM11" t="s">
        <v>1032</v>
      </c>
    </row>
    <row r="12" spans="2:39" x14ac:dyDescent="0.3">
      <c r="B12">
        <f>ROW()-ROW(Years[[#Headers],[n]])</f>
        <v>9</v>
      </c>
      <c r="F12" t="s">
        <v>7</v>
      </c>
      <c r="G12" t="s">
        <v>16</v>
      </c>
      <c r="H12">
        <v>250</v>
      </c>
      <c r="I12">
        <v>5</v>
      </c>
      <c r="J12">
        <v>1</v>
      </c>
      <c r="K12">
        <v>0</v>
      </c>
      <c r="O12" s="13" t="s">
        <v>111</v>
      </c>
      <c r="P12" s="13" t="s">
        <v>114</v>
      </c>
      <c r="R12" t="s">
        <v>132</v>
      </c>
      <c r="S12" t="s">
        <v>140</v>
      </c>
      <c r="T12" t="s">
        <v>198</v>
      </c>
      <c r="U12" t="s">
        <v>199</v>
      </c>
      <c r="V12">
        <v>75</v>
      </c>
      <c r="W12" t="s">
        <v>182</v>
      </c>
      <c r="AA12" s="13" t="s">
        <v>132</v>
      </c>
      <c r="AB12" s="13" t="s">
        <v>189</v>
      </c>
      <c r="AD12" s="13" t="s">
        <v>132</v>
      </c>
      <c r="AE12" s="13" t="s">
        <v>140</v>
      </c>
      <c r="AF12" s="13" t="s">
        <v>180</v>
      </c>
      <c r="AH12" s="13" t="s">
        <v>702</v>
      </c>
      <c r="AI12" s="13"/>
      <c r="AJ12" t="s">
        <v>246</v>
      </c>
      <c r="AK12" t="s">
        <v>247</v>
      </c>
      <c r="AL12">
        <v>43646</v>
      </c>
      <c r="AM12" t="s">
        <v>1035</v>
      </c>
    </row>
    <row r="13" spans="2:39" x14ac:dyDescent="0.3">
      <c r="B13">
        <f>ROW()-ROW(Years[[#Headers],[n]])</f>
        <v>10</v>
      </c>
      <c r="F13" t="s">
        <v>7</v>
      </c>
      <c r="G13" t="s">
        <v>17</v>
      </c>
      <c r="H13">
        <v>250</v>
      </c>
      <c r="I13">
        <v>5</v>
      </c>
      <c r="J13">
        <v>1</v>
      </c>
      <c r="K13">
        <v>0</v>
      </c>
      <c r="O13" s="13" t="s">
        <v>111</v>
      </c>
      <c r="P13" s="13" t="s">
        <v>115</v>
      </c>
      <c r="R13" t="s">
        <v>132</v>
      </c>
      <c r="S13" t="s">
        <v>186</v>
      </c>
      <c r="T13" t="s">
        <v>200</v>
      </c>
      <c r="U13" t="s">
        <v>191</v>
      </c>
      <c r="V13">
        <v>100</v>
      </c>
      <c r="W13" t="s">
        <v>182</v>
      </c>
      <c r="AA13" s="13" t="s">
        <v>132</v>
      </c>
      <c r="AB13" s="13" t="s">
        <v>192</v>
      </c>
      <c r="AD13" s="13" t="s">
        <v>132</v>
      </c>
      <c r="AE13" s="13" t="s">
        <v>143</v>
      </c>
      <c r="AF13" s="13" t="s">
        <v>143</v>
      </c>
      <c r="AH13" s="13" t="s">
        <v>624</v>
      </c>
      <c r="AI13" s="13"/>
      <c r="AJ13" t="s">
        <v>248</v>
      </c>
      <c r="AK13" t="s">
        <v>249</v>
      </c>
      <c r="AL13">
        <v>43644</v>
      </c>
      <c r="AM13" t="s">
        <v>1033</v>
      </c>
    </row>
    <row r="14" spans="2:39" x14ac:dyDescent="0.3">
      <c r="B14">
        <f>ROW()-ROW(Years[[#Headers],[n]])</f>
        <v>11</v>
      </c>
      <c r="F14" t="s">
        <v>7</v>
      </c>
      <c r="G14" t="s">
        <v>18</v>
      </c>
      <c r="H14">
        <v>250</v>
      </c>
      <c r="I14">
        <v>5</v>
      </c>
      <c r="J14">
        <v>1</v>
      </c>
      <c r="K14">
        <v>0</v>
      </c>
      <c r="O14" s="13" t="s">
        <v>111</v>
      </c>
      <c r="P14" s="13" t="s">
        <v>112</v>
      </c>
      <c r="R14" t="s">
        <v>132</v>
      </c>
      <c r="S14" t="s">
        <v>189</v>
      </c>
      <c r="T14" t="s">
        <v>201</v>
      </c>
      <c r="U14" t="s">
        <v>202</v>
      </c>
      <c r="V14">
        <v>110</v>
      </c>
      <c r="W14" t="s">
        <v>182</v>
      </c>
      <c r="AA14" s="13" t="s">
        <v>132</v>
      </c>
      <c r="AB14" s="13" t="s">
        <v>195</v>
      </c>
      <c r="AD14" s="13" t="s">
        <v>132</v>
      </c>
      <c r="AE14" s="13" t="s">
        <v>143</v>
      </c>
      <c r="AF14" s="13" t="s">
        <v>184</v>
      </c>
      <c r="AH14" s="13" t="s">
        <v>700</v>
      </c>
      <c r="AI14" s="13"/>
      <c r="AJ14" t="s">
        <v>250</v>
      </c>
      <c r="AK14" t="s">
        <v>241</v>
      </c>
      <c r="AL14">
        <v>43727</v>
      </c>
      <c r="AM14" t="s">
        <v>1036</v>
      </c>
    </row>
    <row r="15" spans="2:39" x14ac:dyDescent="0.3">
      <c r="B15">
        <f>ROW()-ROW(Years[[#Headers],[n]])</f>
        <v>12</v>
      </c>
      <c r="F15" t="s">
        <v>7</v>
      </c>
      <c r="G15" t="s">
        <v>19</v>
      </c>
      <c r="H15">
        <v>250</v>
      </c>
      <c r="I15">
        <v>5</v>
      </c>
      <c r="J15">
        <v>0</v>
      </c>
      <c r="K15">
        <v>0</v>
      </c>
      <c r="O15" s="13" t="s">
        <v>111</v>
      </c>
      <c r="P15" s="13" t="s">
        <v>113</v>
      </c>
      <c r="R15" t="s">
        <v>132</v>
      </c>
      <c r="S15" t="s">
        <v>192</v>
      </c>
      <c r="T15" t="s">
        <v>203</v>
      </c>
      <c r="U15" t="s">
        <v>204</v>
      </c>
      <c r="V15">
        <v>120</v>
      </c>
      <c r="W15" t="s">
        <v>182</v>
      </c>
      <c r="AA15" s="13" t="s">
        <v>7</v>
      </c>
      <c r="AB15" s="13" t="s">
        <v>140</v>
      </c>
      <c r="AD15" s="13" t="s">
        <v>132</v>
      </c>
      <c r="AE15" s="13" t="s">
        <v>186</v>
      </c>
      <c r="AF15" s="13" t="s">
        <v>200</v>
      </c>
      <c r="AH15" s="13" t="s">
        <v>632</v>
      </c>
      <c r="AI15" s="13"/>
      <c r="AJ15" t="s">
        <v>251</v>
      </c>
      <c r="AK15" t="s">
        <v>238</v>
      </c>
      <c r="AL15">
        <v>43633</v>
      </c>
      <c r="AM15" t="s">
        <v>1034</v>
      </c>
    </row>
    <row r="16" spans="2:39" x14ac:dyDescent="0.3">
      <c r="B16">
        <f>ROW()-ROW(Years[[#Headers],[n]])</f>
        <v>13</v>
      </c>
      <c r="F16" t="s">
        <v>7</v>
      </c>
      <c r="G16" t="s">
        <v>20</v>
      </c>
      <c r="H16">
        <v>250</v>
      </c>
      <c r="I16">
        <v>5</v>
      </c>
      <c r="J16">
        <v>0</v>
      </c>
      <c r="K16">
        <v>0</v>
      </c>
      <c r="O16" s="13" t="s">
        <v>111</v>
      </c>
      <c r="P16" s="13" t="s">
        <v>118</v>
      </c>
      <c r="R16" t="s">
        <v>132</v>
      </c>
      <c r="S16" t="s">
        <v>195</v>
      </c>
      <c r="T16" t="s">
        <v>205</v>
      </c>
      <c r="U16" t="s">
        <v>206</v>
      </c>
      <c r="V16">
        <v>125</v>
      </c>
      <c r="W16" t="s">
        <v>182</v>
      </c>
      <c r="AA16" s="13" t="s">
        <v>7</v>
      </c>
      <c r="AB16" s="13" t="s">
        <v>143</v>
      </c>
      <c r="AD16" s="13" t="s">
        <v>132</v>
      </c>
      <c r="AE16" s="13" t="s">
        <v>186</v>
      </c>
      <c r="AF16" s="13" t="s">
        <v>187</v>
      </c>
      <c r="AH16" s="13" t="s">
        <v>686</v>
      </c>
      <c r="AI16" s="13"/>
      <c r="AJ16" t="s">
        <v>252</v>
      </c>
      <c r="AK16" t="s">
        <v>241</v>
      </c>
      <c r="AL16">
        <v>43562</v>
      </c>
      <c r="AM16" t="s">
        <v>1036</v>
      </c>
    </row>
    <row r="17" spans="2:39" x14ac:dyDescent="0.3">
      <c r="B17">
        <f>ROW()-ROW(Years[[#Headers],[n]])</f>
        <v>14</v>
      </c>
      <c r="F17" t="s">
        <v>7</v>
      </c>
      <c r="G17" t="s">
        <v>21</v>
      </c>
      <c r="H17">
        <v>250</v>
      </c>
      <c r="I17">
        <v>5</v>
      </c>
      <c r="J17">
        <v>1</v>
      </c>
      <c r="K17">
        <v>0</v>
      </c>
      <c r="O17" s="13" t="s">
        <v>111</v>
      </c>
      <c r="P17" s="13" t="s">
        <v>119</v>
      </c>
      <c r="R17" t="s">
        <v>7</v>
      </c>
      <c r="S17" t="s">
        <v>140</v>
      </c>
      <c r="T17" t="s">
        <v>207</v>
      </c>
      <c r="U17" t="s">
        <v>181</v>
      </c>
      <c r="V17">
        <v>50</v>
      </c>
      <c r="W17" t="s">
        <v>182</v>
      </c>
      <c r="AD17" s="13" t="s">
        <v>132</v>
      </c>
      <c r="AE17" s="13" t="s">
        <v>189</v>
      </c>
      <c r="AF17" s="13" t="s">
        <v>201</v>
      </c>
      <c r="AH17" s="13" t="s">
        <v>368</v>
      </c>
      <c r="AI17" s="13"/>
      <c r="AJ17" t="s">
        <v>253</v>
      </c>
      <c r="AK17" t="s">
        <v>241</v>
      </c>
      <c r="AL17">
        <v>43536</v>
      </c>
      <c r="AM17" t="s">
        <v>1036</v>
      </c>
    </row>
    <row r="18" spans="2:39" x14ac:dyDescent="0.3">
      <c r="B18">
        <f>ROW()-ROW(Years[[#Headers],[n]])</f>
        <v>15</v>
      </c>
      <c r="F18" t="s">
        <v>7</v>
      </c>
      <c r="G18" t="s">
        <v>22</v>
      </c>
      <c r="H18">
        <v>250</v>
      </c>
      <c r="I18">
        <v>5</v>
      </c>
      <c r="J18">
        <v>1</v>
      </c>
      <c r="K18">
        <v>0</v>
      </c>
      <c r="O18" s="13" t="s">
        <v>111</v>
      </c>
      <c r="P18" s="13" t="s">
        <v>116</v>
      </c>
      <c r="R18" t="s">
        <v>7</v>
      </c>
      <c r="S18" t="s">
        <v>140</v>
      </c>
      <c r="T18" t="s">
        <v>208</v>
      </c>
      <c r="U18" t="s">
        <v>181</v>
      </c>
      <c r="V18">
        <v>50</v>
      </c>
      <c r="W18" t="s">
        <v>182</v>
      </c>
      <c r="AD18" s="13" t="s">
        <v>132</v>
      </c>
      <c r="AE18" s="13" t="s">
        <v>189</v>
      </c>
      <c r="AF18" s="13" t="s">
        <v>190</v>
      </c>
      <c r="AH18" s="13" t="s">
        <v>349</v>
      </c>
      <c r="AI18" s="13"/>
      <c r="AJ18" t="s">
        <v>254</v>
      </c>
      <c r="AK18" t="s">
        <v>241</v>
      </c>
      <c r="AL18">
        <v>43551</v>
      </c>
      <c r="AM18" t="s">
        <v>1036</v>
      </c>
    </row>
    <row r="19" spans="2:39" x14ac:dyDescent="0.3">
      <c r="B19">
        <f>ROW()-ROW(Years[[#Headers],[n]])</f>
        <v>16</v>
      </c>
      <c r="F19" t="s">
        <v>7</v>
      </c>
      <c r="G19" t="s">
        <v>23</v>
      </c>
      <c r="H19">
        <v>250</v>
      </c>
      <c r="I19">
        <v>5</v>
      </c>
      <c r="J19">
        <v>1</v>
      </c>
      <c r="K19">
        <v>1</v>
      </c>
      <c r="O19" s="13" t="s">
        <v>111</v>
      </c>
      <c r="P19" s="13" t="s">
        <v>117</v>
      </c>
      <c r="R19" t="s">
        <v>7</v>
      </c>
      <c r="S19" t="s">
        <v>140</v>
      </c>
      <c r="T19" t="s">
        <v>209</v>
      </c>
      <c r="U19" t="s">
        <v>183</v>
      </c>
      <c r="V19">
        <v>30</v>
      </c>
      <c r="W19" t="s">
        <v>182</v>
      </c>
      <c r="AD19" s="13" t="s">
        <v>132</v>
      </c>
      <c r="AE19" s="13" t="s">
        <v>192</v>
      </c>
      <c r="AF19" s="13" t="s">
        <v>203</v>
      </c>
      <c r="AH19" s="13" t="s">
        <v>365</v>
      </c>
      <c r="AI19" s="13"/>
      <c r="AJ19" t="s">
        <v>255</v>
      </c>
      <c r="AK19" t="s">
        <v>256</v>
      </c>
      <c r="AL19">
        <v>43555</v>
      </c>
      <c r="AM19" t="s">
        <v>1036</v>
      </c>
    </row>
    <row r="20" spans="2:39" x14ac:dyDescent="0.3">
      <c r="B20">
        <f>ROW()-ROW(Years[[#Headers],[n]])</f>
        <v>17</v>
      </c>
      <c r="F20" t="s">
        <v>7</v>
      </c>
      <c r="G20" t="s">
        <v>24</v>
      </c>
      <c r="H20">
        <v>250</v>
      </c>
      <c r="I20">
        <v>5</v>
      </c>
      <c r="J20">
        <v>0</v>
      </c>
      <c r="K20">
        <v>0</v>
      </c>
      <c r="O20" s="13" t="s">
        <v>111</v>
      </c>
      <c r="P20" s="13" t="s">
        <v>131</v>
      </c>
      <c r="R20" t="s">
        <v>7</v>
      </c>
      <c r="S20" t="s">
        <v>140</v>
      </c>
      <c r="T20" t="s">
        <v>210</v>
      </c>
      <c r="U20" t="s">
        <v>183</v>
      </c>
      <c r="V20">
        <v>40</v>
      </c>
      <c r="W20" t="s">
        <v>182</v>
      </c>
      <c r="AD20" s="13" t="s">
        <v>132</v>
      </c>
      <c r="AE20" s="13" t="s">
        <v>192</v>
      </c>
      <c r="AF20" s="13" t="s">
        <v>193</v>
      </c>
      <c r="AH20" s="13" t="s">
        <v>351</v>
      </c>
      <c r="AI20" s="13"/>
      <c r="AJ20" t="s">
        <v>257</v>
      </c>
      <c r="AK20" t="s">
        <v>258</v>
      </c>
      <c r="AL20">
        <v>43554</v>
      </c>
      <c r="AM20" t="s">
        <v>1035</v>
      </c>
    </row>
    <row r="21" spans="2:39" x14ac:dyDescent="0.3">
      <c r="B21">
        <f>ROW()-ROW(Years[[#Headers],[n]])</f>
        <v>18</v>
      </c>
      <c r="F21" t="s">
        <v>7</v>
      </c>
      <c r="G21" t="s">
        <v>25</v>
      </c>
      <c r="H21">
        <v>250</v>
      </c>
      <c r="I21">
        <v>5</v>
      </c>
      <c r="J21">
        <v>1</v>
      </c>
      <c r="K21">
        <v>0</v>
      </c>
      <c r="O21" s="13" t="s">
        <v>111</v>
      </c>
      <c r="P21" s="13" t="s">
        <v>158</v>
      </c>
      <c r="R21" t="s">
        <v>7</v>
      </c>
      <c r="S21" t="s">
        <v>140</v>
      </c>
      <c r="T21" t="s">
        <v>211</v>
      </c>
      <c r="U21" t="s">
        <v>183</v>
      </c>
      <c r="V21">
        <v>65</v>
      </c>
      <c r="W21" t="s">
        <v>182</v>
      </c>
      <c r="AD21" s="13" t="s">
        <v>132</v>
      </c>
      <c r="AE21" s="13" t="s">
        <v>195</v>
      </c>
      <c r="AF21" s="13" t="s">
        <v>205</v>
      </c>
      <c r="AH21" s="13" t="s">
        <v>699</v>
      </c>
      <c r="AI21" s="13"/>
      <c r="AJ21" t="s">
        <v>259</v>
      </c>
      <c r="AK21" t="s">
        <v>258</v>
      </c>
      <c r="AL21">
        <v>43588</v>
      </c>
      <c r="AM21" t="s">
        <v>1035</v>
      </c>
    </row>
    <row r="22" spans="2:39" x14ac:dyDescent="0.3">
      <c r="B22">
        <f>ROW()-ROW(Years[[#Headers],[n]])</f>
        <v>19</v>
      </c>
      <c r="F22" t="s">
        <v>7</v>
      </c>
      <c r="G22" t="s">
        <v>26</v>
      </c>
      <c r="H22">
        <v>250</v>
      </c>
      <c r="I22">
        <v>5</v>
      </c>
      <c r="J22">
        <v>1</v>
      </c>
      <c r="K22">
        <v>0</v>
      </c>
      <c r="O22" s="13" t="s">
        <v>111</v>
      </c>
      <c r="P22" s="13" t="s">
        <v>159</v>
      </c>
      <c r="R22" t="s">
        <v>132</v>
      </c>
      <c r="S22" t="s">
        <v>140</v>
      </c>
      <c r="T22" t="s">
        <v>140</v>
      </c>
      <c r="U22" t="s">
        <v>185</v>
      </c>
      <c r="V22">
        <v>75</v>
      </c>
      <c r="W22" t="s">
        <v>179</v>
      </c>
      <c r="AD22" s="13" t="s">
        <v>132</v>
      </c>
      <c r="AE22" s="13" t="s">
        <v>195</v>
      </c>
      <c r="AF22" s="13" t="s">
        <v>196</v>
      </c>
      <c r="AH22" s="13" t="s">
        <v>493</v>
      </c>
      <c r="AI22" s="13"/>
      <c r="AJ22" t="s">
        <v>260</v>
      </c>
      <c r="AK22" t="s">
        <v>261</v>
      </c>
      <c r="AL22">
        <v>43543</v>
      </c>
      <c r="AM22" t="s">
        <v>1033</v>
      </c>
    </row>
    <row r="23" spans="2:39" x14ac:dyDescent="0.3">
      <c r="B23">
        <f>ROW()-ROW(Years[[#Headers],[n]])</f>
        <v>20</v>
      </c>
      <c r="F23" t="s">
        <v>7</v>
      </c>
      <c r="G23" t="s">
        <v>27</v>
      </c>
      <c r="H23">
        <v>250</v>
      </c>
      <c r="I23">
        <v>5</v>
      </c>
      <c r="J23">
        <v>1</v>
      </c>
      <c r="K23">
        <v>0</v>
      </c>
      <c r="O23" s="13" t="s">
        <v>111</v>
      </c>
      <c r="P23" s="13" t="s">
        <v>130</v>
      </c>
      <c r="R23" t="s">
        <v>132</v>
      </c>
      <c r="S23" t="s">
        <v>143</v>
      </c>
      <c r="T23" t="s">
        <v>143</v>
      </c>
      <c r="U23" t="s">
        <v>188</v>
      </c>
      <c r="V23">
        <v>90</v>
      </c>
      <c r="W23" t="s">
        <v>179</v>
      </c>
      <c r="AD23" s="13" t="s">
        <v>7</v>
      </c>
      <c r="AE23" s="13" t="s">
        <v>140</v>
      </c>
      <c r="AF23" s="13" t="s">
        <v>140</v>
      </c>
      <c r="AH23" s="13" t="s">
        <v>813</v>
      </c>
      <c r="AI23" s="13"/>
      <c r="AJ23" t="s">
        <v>262</v>
      </c>
      <c r="AK23" t="s">
        <v>263</v>
      </c>
      <c r="AL23">
        <v>43464</v>
      </c>
      <c r="AM23" t="s">
        <v>1035</v>
      </c>
    </row>
    <row r="24" spans="2:39" x14ac:dyDescent="0.3">
      <c r="B24">
        <f>ROW()-ROW(Years[[#Headers],[n]])</f>
        <v>21</v>
      </c>
      <c r="F24" t="s">
        <v>7</v>
      </c>
      <c r="G24" t="s">
        <v>28</v>
      </c>
      <c r="H24">
        <v>250</v>
      </c>
      <c r="I24">
        <v>5</v>
      </c>
      <c r="J24">
        <v>0</v>
      </c>
      <c r="K24">
        <v>0</v>
      </c>
      <c r="O24" s="13" t="s">
        <v>111</v>
      </c>
      <c r="P24" s="13" t="s">
        <v>128</v>
      </c>
      <c r="R24" t="s">
        <v>7</v>
      </c>
      <c r="S24" t="s">
        <v>140</v>
      </c>
      <c r="T24" t="s">
        <v>212</v>
      </c>
      <c r="U24" t="s">
        <v>181</v>
      </c>
      <c r="V24">
        <v>50</v>
      </c>
      <c r="W24" t="s">
        <v>182</v>
      </c>
      <c r="AD24" s="13" t="s">
        <v>7</v>
      </c>
      <c r="AE24" s="13" t="s">
        <v>140</v>
      </c>
      <c r="AF24" s="13" t="s">
        <v>209</v>
      </c>
      <c r="AH24" s="13" t="s">
        <v>641</v>
      </c>
      <c r="AI24" s="13"/>
      <c r="AJ24" t="s">
        <v>264</v>
      </c>
      <c r="AK24" t="s">
        <v>263</v>
      </c>
      <c r="AL24">
        <v>43464</v>
      </c>
      <c r="AM24" t="s">
        <v>1035</v>
      </c>
    </row>
    <row r="25" spans="2:39" x14ac:dyDescent="0.3">
      <c r="B25">
        <f>ROW()-ROW(Years[[#Headers],[n]])</f>
        <v>22</v>
      </c>
      <c r="F25" t="s">
        <v>7</v>
      </c>
      <c r="G25" t="s">
        <v>29</v>
      </c>
      <c r="H25">
        <v>250</v>
      </c>
      <c r="I25">
        <v>5</v>
      </c>
      <c r="J25">
        <v>0</v>
      </c>
      <c r="K25">
        <v>0</v>
      </c>
      <c r="O25" s="13" t="s">
        <v>111</v>
      </c>
      <c r="P25" s="13" t="s">
        <v>175</v>
      </c>
      <c r="R25" t="s">
        <v>7</v>
      </c>
      <c r="S25" t="s">
        <v>140</v>
      </c>
      <c r="T25" t="s">
        <v>140</v>
      </c>
      <c r="U25" t="s">
        <v>213</v>
      </c>
      <c r="V25">
        <v>50</v>
      </c>
      <c r="W25" t="s">
        <v>179</v>
      </c>
      <c r="AD25" s="13" t="s">
        <v>7</v>
      </c>
      <c r="AE25" s="13" t="s">
        <v>140</v>
      </c>
      <c r="AF25" s="13" t="s">
        <v>210</v>
      </c>
      <c r="AH25" s="13" t="s">
        <v>917</v>
      </c>
      <c r="AI25" s="13"/>
      <c r="AJ25" t="s">
        <v>265</v>
      </c>
      <c r="AK25" t="s">
        <v>266</v>
      </c>
      <c r="AL25">
        <v>43462</v>
      </c>
      <c r="AM25" t="s">
        <v>1037</v>
      </c>
    </row>
    <row r="26" spans="2:39" x14ac:dyDescent="0.3">
      <c r="B26">
        <f>ROW()-ROW(Years[[#Headers],[n]])</f>
        <v>23</v>
      </c>
      <c r="F26" t="s">
        <v>7</v>
      </c>
      <c r="G26" t="s">
        <v>30</v>
      </c>
      <c r="H26">
        <v>249</v>
      </c>
      <c r="I26">
        <v>5</v>
      </c>
      <c r="J26">
        <v>1</v>
      </c>
      <c r="K26">
        <v>0</v>
      </c>
      <c r="O26" s="13" t="s">
        <v>111</v>
      </c>
      <c r="P26" s="13" t="s">
        <v>129</v>
      </c>
      <c r="R26" t="s">
        <v>7</v>
      </c>
      <c r="S26" t="s">
        <v>140</v>
      </c>
      <c r="T26" t="s">
        <v>214</v>
      </c>
      <c r="U26" t="s">
        <v>181</v>
      </c>
      <c r="V26">
        <v>46</v>
      </c>
      <c r="W26" t="s">
        <v>182</v>
      </c>
      <c r="AD26" s="13" t="s">
        <v>7</v>
      </c>
      <c r="AE26" s="13" t="s">
        <v>140</v>
      </c>
      <c r="AF26" s="13" t="s">
        <v>212</v>
      </c>
      <c r="AH26" s="13" t="s">
        <v>673</v>
      </c>
      <c r="AI26" s="13"/>
      <c r="AJ26" t="s">
        <v>267</v>
      </c>
      <c r="AK26" t="s">
        <v>268</v>
      </c>
      <c r="AL26">
        <v>43456</v>
      </c>
      <c r="AM26" t="s">
        <v>1035</v>
      </c>
    </row>
    <row r="27" spans="2:39" x14ac:dyDescent="0.3">
      <c r="B27">
        <f>ROW()-ROW(Years[[#Headers],[n]])</f>
        <v>24</v>
      </c>
      <c r="F27" t="s">
        <v>7</v>
      </c>
      <c r="G27" t="s">
        <v>31</v>
      </c>
      <c r="H27">
        <v>249</v>
      </c>
      <c r="I27">
        <v>5</v>
      </c>
      <c r="J27">
        <v>0</v>
      </c>
      <c r="K27">
        <v>0</v>
      </c>
      <c r="O27" s="13" t="s">
        <v>132</v>
      </c>
      <c r="P27" s="13" t="s">
        <v>138</v>
      </c>
      <c r="R27" t="s">
        <v>144</v>
      </c>
      <c r="S27" t="s">
        <v>140</v>
      </c>
      <c r="T27" t="s">
        <v>140</v>
      </c>
      <c r="U27" t="s">
        <v>191</v>
      </c>
      <c r="V27">
        <v>100</v>
      </c>
      <c r="W27" t="s">
        <v>179</v>
      </c>
      <c r="AD27" s="13" t="s">
        <v>7</v>
      </c>
      <c r="AE27" s="13" t="s">
        <v>140</v>
      </c>
      <c r="AF27" s="13" t="s">
        <v>211</v>
      </c>
      <c r="AH27" s="13" t="s">
        <v>482</v>
      </c>
      <c r="AI27" s="13"/>
      <c r="AJ27" t="s">
        <v>269</v>
      </c>
      <c r="AK27" t="s">
        <v>270</v>
      </c>
      <c r="AL27">
        <v>43454</v>
      </c>
      <c r="AM27" t="s">
        <v>1036</v>
      </c>
    </row>
    <row r="28" spans="2:39" x14ac:dyDescent="0.3">
      <c r="B28">
        <f>ROW()-ROW(Years[[#Headers],[n]])</f>
        <v>25</v>
      </c>
      <c r="F28" t="s">
        <v>7</v>
      </c>
      <c r="G28" t="s">
        <v>32</v>
      </c>
      <c r="H28">
        <v>250</v>
      </c>
      <c r="I28">
        <v>5</v>
      </c>
      <c r="J28">
        <v>1</v>
      </c>
      <c r="K28">
        <v>0</v>
      </c>
      <c r="O28" s="13" t="s">
        <v>132</v>
      </c>
      <c r="P28" s="13" t="s">
        <v>134</v>
      </c>
      <c r="R28" t="s">
        <v>144</v>
      </c>
      <c r="S28" t="s">
        <v>143</v>
      </c>
      <c r="T28" t="s">
        <v>143</v>
      </c>
      <c r="U28" t="s">
        <v>194</v>
      </c>
      <c r="V28">
        <v>110</v>
      </c>
      <c r="W28" t="s">
        <v>179</v>
      </c>
      <c r="AD28" s="13" t="s">
        <v>7</v>
      </c>
      <c r="AE28" s="13" t="s">
        <v>140</v>
      </c>
      <c r="AF28" s="13" t="s">
        <v>208</v>
      </c>
      <c r="AH28" s="13" t="s">
        <v>705</v>
      </c>
      <c r="AI28" s="13"/>
      <c r="AJ28" t="s">
        <v>271</v>
      </c>
      <c r="AK28" t="s">
        <v>256</v>
      </c>
      <c r="AL28">
        <v>43453</v>
      </c>
      <c r="AM28" t="s">
        <v>1036</v>
      </c>
    </row>
    <row r="29" spans="2:39" x14ac:dyDescent="0.3">
      <c r="B29">
        <f>ROW()-ROW(Years[[#Headers],[n]])</f>
        <v>26</v>
      </c>
      <c r="F29" t="s">
        <v>7</v>
      </c>
      <c r="G29" t="s">
        <v>33</v>
      </c>
      <c r="H29">
        <v>250</v>
      </c>
      <c r="I29">
        <v>5</v>
      </c>
      <c r="J29">
        <v>1</v>
      </c>
      <c r="K29">
        <v>0</v>
      </c>
      <c r="O29" s="13" t="s">
        <v>132</v>
      </c>
      <c r="P29" s="13" t="s">
        <v>137</v>
      </c>
      <c r="R29" t="s">
        <v>145</v>
      </c>
      <c r="S29" t="s">
        <v>140</v>
      </c>
      <c r="T29" t="s">
        <v>140</v>
      </c>
      <c r="U29" t="s">
        <v>197</v>
      </c>
      <c r="V29">
        <v>120</v>
      </c>
      <c r="W29" t="s">
        <v>179</v>
      </c>
      <c r="AD29" s="13" t="s">
        <v>7</v>
      </c>
      <c r="AE29" s="13" t="s">
        <v>140</v>
      </c>
      <c r="AF29" s="13" t="s">
        <v>214</v>
      </c>
      <c r="AH29" s="13" t="s">
        <v>1017</v>
      </c>
      <c r="AI29" s="13"/>
      <c r="AJ29" t="s">
        <v>272</v>
      </c>
      <c r="AK29" t="s">
        <v>256</v>
      </c>
      <c r="AL29">
        <v>43456</v>
      </c>
      <c r="AM29" t="s">
        <v>1036</v>
      </c>
    </row>
    <row r="30" spans="2:39" x14ac:dyDescent="0.3">
      <c r="B30">
        <f>ROW()-ROW(Years[[#Headers],[n]])</f>
        <v>27</v>
      </c>
      <c r="F30" t="s">
        <v>7</v>
      </c>
      <c r="G30" t="s">
        <v>34</v>
      </c>
      <c r="H30">
        <v>250</v>
      </c>
      <c r="I30">
        <v>5</v>
      </c>
      <c r="J30">
        <v>0</v>
      </c>
      <c r="K30">
        <v>0</v>
      </c>
      <c r="O30" s="13" t="s">
        <v>132</v>
      </c>
      <c r="P30" s="13" t="s">
        <v>135</v>
      </c>
      <c r="R30" t="s">
        <v>145</v>
      </c>
      <c r="S30" t="s">
        <v>143</v>
      </c>
      <c r="T30" t="s">
        <v>143</v>
      </c>
      <c r="U30" t="s">
        <v>215</v>
      </c>
      <c r="V30">
        <v>125</v>
      </c>
      <c r="W30" t="s">
        <v>179</v>
      </c>
      <c r="AD30" s="13" t="s">
        <v>7</v>
      </c>
      <c r="AE30" s="13" t="s">
        <v>140</v>
      </c>
      <c r="AF30" s="13" t="s">
        <v>207</v>
      </c>
      <c r="AH30" s="13" t="s">
        <v>930</v>
      </c>
      <c r="AI30" s="13"/>
      <c r="AJ30" t="s">
        <v>273</v>
      </c>
      <c r="AK30" t="s">
        <v>274</v>
      </c>
      <c r="AL30">
        <v>43523</v>
      </c>
      <c r="AM30" t="s">
        <v>1038</v>
      </c>
    </row>
    <row r="31" spans="2:39" x14ac:dyDescent="0.3">
      <c r="B31">
        <f>ROW()-ROW(Years[[#Headers],[n]])</f>
        <v>28</v>
      </c>
      <c r="F31" t="s">
        <v>7</v>
      </c>
      <c r="G31" t="s">
        <v>35</v>
      </c>
      <c r="H31">
        <v>250</v>
      </c>
      <c r="I31">
        <v>5</v>
      </c>
      <c r="J31">
        <v>2</v>
      </c>
      <c r="K31">
        <v>0</v>
      </c>
      <c r="O31" s="13" t="s">
        <v>132</v>
      </c>
      <c r="P31" s="13" t="s">
        <v>133</v>
      </c>
      <c r="R31" t="s">
        <v>7</v>
      </c>
      <c r="S31" t="s">
        <v>143</v>
      </c>
      <c r="T31" t="s">
        <v>143</v>
      </c>
      <c r="U31" t="s">
        <v>216</v>
      </c>
      <c r="V31">
        <v>55</v>
      </c>
      <c r="W31" t="s">
        <v>179</v>
      </c>
      <c r="AD31" s="13" t="s">
        <v>7</v>
      </c>
      <c r="AE31" s="13" t="s">
        <v>140</v>
      </c>
      <c r="AF31" s="13" t="s">
        <v>180</v>
      </c>
      <c r="AH31" s="13" t="s">
        <v>797</v>
      </c>
      <c r="AI31" s="13"/>
      <c r="AJ31" t="s">
        <v>275</v>
      </c>
      <c r="AK31" t="s">
        <v>276</v>
      </c>
      <c r="AL31">
        <v>43410</v>
      </c>
      <c r="AM31" t="s">
        <v>1033</v>
      </c>
    </row>
    <row r="32" spans="2:39" x14ac:dyDescent="0.3">
      <c r="B32">
        <f>ROW()-ROW(Years[[#Headers],[n]])</f>
        <v>29</v>
      </c>
      <c r="F32" t="s">
        <v>7</v>
      </c>
      <c r="G32" t="s">
        <v>36</v>
      </c>
      <c r="H32">
        <v>200</v>
      </c>
      <c r="I32">
        <v>4</v>
      </c>
      <c r="J32">
        <v>1</v>
      </c>
      <c r="K32">
        <v>0</v>
      </c>
      <c r="O32" s="13" t="s">
        <v>132</v>
      </c>
      <c r="P32" s="13" t="s">
        <v>136</v>
      </c>
      <c r="R32" t="s">
        <v>7</v>
      </c>
      <c r="S32" t="s">
        <v>143</v>
      </c>
      <c r="T32" t="s">
        <v>217</v>
      </c>
      <c r="U32" t="s">
        <v>216</v>
      </c>
      <c r="V32">
        <v>55</v>
      </c>
      <c r="W32" t="s">
        <v>182</v>
      </c>
      <c r="AD32" s="13" t="s">
        <v>7</v>
      </c>
      <c r="AE32" s="13" t="s">
        <v>143</v>
      </c>
      <c r="AF32" s="13" t="s">
        <v>143</v>
      </c>
      <c r="AH32" s="13" t="s">
        <v>507</v>
      </c>
      <c r="AI32" s="13"/>
      <c r="AJ32" t="s">
        <v>277</v>
      </c>
      <c r="AK32" t="s">
        <v>256</v>
      </c>
      <c r="AL32">
        <v>43411</v>
      </c>
      <c r="AM32" t="s">
        <v>1036</v>
      </c>
    </row>
    <row r="33" spans="2:39" x14ac:dyDescent="0.3">
      <c r="B33">
        <f>ROW()-ROW(Years[[#Headers],[n]])</f>
        <v>30</v>
      </c>
      <c r="F33" t="s">
        <v>7</v>
      </c>
      <c r="G33" t="s">
        <v>37</v>
      </c>
      <c r="H33">
        <v>200</v>
      </c>
      <c r="I33">
        <v>4</v>
      </c>
      <c r="J33">
        <v>1</v>
      </c>
      <c r="K33">
        <v>0</v>
      </c>
      <c r="O33" s="13" t="s">
        <v>7</v>
      </c>
      <c r="P33" s="13" t="s">
        <v>43</v>
      </c>
      <c r="R33" t="s">
        <v>7</v>
      </c>
      <c r="S33" t="s">
        <v>143</v>
      </c>
      <c r="T33" t="s">
        <v>218</v>
      </c>
      <c r="U33" t="s">
        <v>216</v>
      </c>
      <c r="V33">
        <v>55</v>
      </c>
      <c r="W33" t="s">
        <v>182</v>
      </c>
      <c r="AD33" s="13" t="s">
        <v>7</v>
      </c>
      <c r="AE33" s="13" t="s">
        <v>143</v>
      </c>
      <c r="AF33" s="13" t="s">
        <v>217</v>
      </c>
      <c r="AH33" s="13" t="s">
        <v>381</v>
      </c>
      <c r="AI33" s="13"/>
      <c r="AJ33" t="s">
        <v>278</v>
      </c>
      <c r="AK33" t="s">
        <v>279</v>
      </c>
      <c r="AL33">
        <v>43433</v>
      </c>
      <c r="AM33" t="s">
        <v>1036</v>
      </c>
    </row>
    <row r="34" spans="2:39" x14ac:dyDescent="0.3">
      <c r="F34" t="s">
        <v>7</v>
      </c>
      <c r="G34" t="s">
        <v>38</v>
      </c>
      <c r="H34">
        <v>200</v>
      </c>
      <c r="I34">
        <v>4</v>
      </c>
      <c r="J34">
        <v>1</v>
      </c>
      <c r="K34">
        <v>0</v>
      </c>
      <c r="O34" s="13" t="s">
        <v>7</v>
      </c>
      <c r="P34" s="13" t="s">
        <v>23</v>
      </c>
      <c r="R34" t="s">
        <v>7</v>
      </c>
      <c r="S34" t="s">
        <v>143</v>
      </c>
      <c r="T34" t="s">
        <v>219</v>
      </c>
      <c r="U34" t="s">
        <v>216</v>
      </c>
      <c r="V34">
        <v>55</v>
      </c>
      <c r="W34" t="s">
        <v>182</v>
      </c>
      <c r="AD34" s="13" t="s">
        <v>7</v>
      </c>
      <c r="AE34" s="13" t="s">
        <v>143</v>
      </c>
      <c r="AF34" s="13" t="s">
        <v>218</v>
      </c>
      <c r="AH34" s="13" t="s">
        <v>376</v>
      </c>
      <c r="AI34" s="13"/>
      <c r="AJ34" t="s">
        <v>280</v>
      </c>
      <c r="AK34" t="s">
        <v>256</v>
      </c>
      <c r="AL34">
        <v>43389</v>
      </c>
      <c r="AM34" t="s">
        <v>1036</v>
      </c>
    </row>
    <row r="35" spans="2:39" x14ac:dyDescent="0.3">
      <c r="F35" t="s">
        <v>7</v>
      </c>
      <c r="G35" t="s">
        <v>39</v>
      </c>
      <c r="H35">
        <v>200</v>
      </c>
      <c r="I35">
        <v>4</v>
      </c>
      <c r="J35">
        <v>1</v>
      </c>
      <c r="K35">
        <v>0</v>
      </c>
      <c r="O35" s="13" t="s">
        <v>7</v>
      </c>
      <c r="P35" s="13" t="s">
        <v>12</v>
      </c>
      <c r="R35" t="s">
        <v>7</v>
      </c>
      <c r="S35" t="s">
        <v>143</v>
      </c>
      <c r="T35" t="s">
        <v>220</v>
      </c>
      <c r="U35" t="s">
        <v>216</v>
      </c>
      <c r="V35">
        <v>55</v>
      </c>
      <c r="W35" t="s">
        <v>182</v>
      </c>
      <c r="AD35" s="13" t="s">
        <v>7</v>
      </c>
      <c r="AE35" s="13" t="s">
        <v>143</v>
      </c>
      <c r="AF35" s="13" t="s">
        <v>219</v>
      </c>
      <c r="AH35" s="13" t="s">
        <v>340</v>
      </c>
      <c r="AI35" s="13"/>
      <c r="AJ35" t="s">
        <v>281</v>
      </c>
      <c r="AK35" t="s">
        <v>282</v>
      </c>
      <c r="AL35">
        <v>43373</v>
      </c>
      <c r="AM35" t="s">
        <v>1036</v>
      </c>
    </row>
    <row r="36" spans="2:39" x14ac:dyDescent="0.3">
      <c r="F36" t="s">
        <v>7</v>
      </c>
      <c r="G36" t="s">
        <v>40</v>
      </c>
      <c r="H36">
        <v>200</v>
      </c>
      <c r="I36">
        <v>4</v>
      </c>
      <c r="J36">
        <v>0</v>
      </c>
      <c r="K36">
        <v>0</v>
      </c>
      <c r="O36" s="13" t="s">
        <v>7</v>
      </c>
      <c r="P36" s="13" t="s">
        <v>87</v>
      </c>
      <c r="R36" t="s">
        <v>7</v>
      </c>
      <c r="S36" t="s">
        <v>143</v>
      </c>
      <c r="T36" t="s">
        <v>221</v>
      </c>
      <c r="U36" t="s">
        <v>216</v>
      </c>
      <c r="V36">
        <v>55</v>
      </c>
      <c r="W36" t="s">
        <v>182</v>
      </c>
      <c r="AD36" s="13" t="s">
        <v>7</v>
      </c>
      <c r="AE36" s="13" t="s">
        <v>143</v>
      </c>
      <c r="AF36" s="13" t="s">
        <v>220</v>
      </c>
      <c r="AH36" s="13" t="s">
        <v>390</v>
      </c>
      <c r="AI36" s="13"/>
      <c r="AJ36" t="s">
        <v>283</v>
      </c>
      <c r="AK36" t="s">
        <v>256</v>
      </c>
      <c r="AL36">
        <v>43372</v>
      </c>
      <c r="AM36" t="s">
        <v>1036</v>
      </c>
    </row>
    <row r="37" spans="2:39" x14ac:dyDescent="0.3">
      <c r="F37" t="s">
        <v>7</v>
      </c>
      <c r="G37" t="s">
        <v>41</v>
      </c>
      <c r="H37">
        <v>200</v>
      </c>
      <c r="I37">
        <v>4</v>
      </c>
      <c r="J37">
        <v>0</v>
      </c>
      <c r="K37">
        <v>0</v>
      </c>
      <c r="O37" s="13" t="s">
        <v>7</v>
      </c>
      <c r="P37" s="13" t="s">
        <v>88</v>
      </c>
      <c r="R37" t="s">
        <v>111</v>
      </c>
      <c r="S37" t="s">
        <v>143</v>
      </c>
      <c r="T37" t="s">
        <v>222</v>
      </c>
      <c r="U37" t="s">
        <v>178</v>
      </c>
      <c r="V37">
        <v>42</v>
      </c>
      <c r="W37" t="s">
        <v>182</v>
      </c>
      <c r="AD37" s="13" t="s">
        <v>7</v>
      </c>
      <c r="AE37" s="13" t="s">
        <v>143</v>
      </c>
      <c r="AF37" s="13" t="s">
        <v>221</v>
      </c>
      <c r="AH37" s="13" t="s">
        <v>474</v>
      </c>
      <c r="AI37" s="13"/>
      <c r="AJ37" t="s">
        <v>284</v>
      </c>
      <c r="AK37" t="s">
        <v>256</v>
      </c>
      <c r="AL37">
        <v>43372</v>
      </c>
      <c r="AM37" t="s">
        <v>1036</v>
      </c>
    </row>
    <row r="38" spans="2:39" x14ac:dyDescent="0.3">
      <c r="F38" t="s">
        <v>7</v>
      </c>
      <c r="G38" t="s">
        <v>42</v>
      </c>
      <c r="H38">
        <v>200</v>
      </c>
      <c r="I38">
        <v>4</v>
      </c>
      <c r="J38">
        <v>1</v>
      </c>
      <c r="K38">
        <v>0</v>
      </c>
      <c r="O38" s="13" t="s">
        <v>7</v>
      </c>
      <c r="P38" s="13" t="s">
        <v>85</v>
      </c>
      <c r="AH38" s="13" t="s">
        <v>987</v>
      </c>
      <c r="AI38" s="13"/>
      <c r="AJ38" t="s">
        <v>285</v>
      </c>
      <c r="AK38" t="s">
        <v>256</v>
      </c>
      <c r="AL38">
        <v>43372</v>
      </c>
      <c r="AM38" t="s">
        <v>1036</v>
      </c>
    </row>
    <row r="39" spans="2:39" x14ac:dyDescent="0.3">
      <c r="F39" t="s">
        <v>7</v>
      </c>
      <c r="G39" t="s">
        <v>43</v>
      </c>
      <c r="H39">
        <v>200</v>
      </c>
      <c r="I39">
        <v>4</v>
      </c>
      <c r="J39">
        <v>1</v>
      </c>
      <c r="K39">
        <v>1</v>
      </c>
      <c r="O39" s="13" t="s">
        <v>7</v>
      </c>
      <c r="P39" s="13" t="s">
        <v>86</v>
      </c>
      <c r="AH39" s="13" t="s">
        <v>547</v>
      </c>
      <c r="AI39" s="13"/>
      <c r="AJ39" t="s">
        <v>286</v>
      </c>
      <c r="AK39" t="s">
        <v>241</v>
      </c>
      <c r="AL39">
        <v>43371</v>
      </c>
      <c r="AM39" t="s">
        <v>1036</v>
      </c>
    </row>
    <row r="40" spans="2:39" x14ac:dyDescent="0.3">
      <c r="F40" t="s">
        <v>7</v>
      </c>
      <c r="G40" t="s">
        <v>44</v>
      </c>
      <c r="H40">
        <v>200</v>
      </c>
      <c r="I40">
        <v>4</v>
      </c>
      <c r="J40">
        <v>0</v>
      </c>
      <c r="K40">
        <v>0</v>
      </c>
      <c r="O40" s="13" t="s">
        <v>7</v>
      </c>
      <c r="P40" s="13" t="s">
        <v>89</v>
      </c>
      <c r="AH40" s="13" t="s">
        <v>469</v>
      </c>
      <c r="AI40" s="13"/>
      <c r="AJ40" t="s">
        <v>287</v>
      </c>
      <c r="AK40" t="s">
        <v>288</v>
      </c>
      <c r="AL40">
        <v>43372</v>
      </c>
      <c r="AM40" t="s">
        <v>1036</v>
      </c>
    </row>
    <row r="41" spans="2:39" x14ac:dyDescent="0.3">
      <c r="F41" t="s">
        <v>7</v>
      </c>
      <c r="G41" t="s">
        <v>45</v>
      </c>
      <c r="H41">
        <v>200</v>
      </c>
      <c r="I41">
        <v>4</v>
      </c>
      <c r="J41">
        <v>0</v>
      </c>
      <c r="K41">
        <v>0</v>
      </c>
      <c r="O41" s="13" t="s">
        <v>7</v>
      </c>
      <c r="P41" s="13" t="s">
        <v>91</v>
      </c>
      <c r="AH41" s="13" t="s">
        <v>428</v>
      </c>
      <c r="AI41" s="13"/>
      <c r="AJ41" t="s">
        <v>289</v>
      </c>
      <c r="AK41" t="s">
        <v>290</v>
      </c>
      <c r="AL41">
        <v>43351</v>
      </c>
      <c r="AM41" t="s">
        <v>1036</v>
      </c>
    </row>
    <row r="42" spans="2:39" x14ac:dyDescent="0.3">
      <c r="F42" t="s">
        <v>7</v>
      </c>
      <c r="G42" t="s">
        <v>46</v>
      </c>
      <c r="H42">
        <v>200</v>
      </c>
      <c r="I42">
        <v>4</v>
      </c>
      <c r="J42">
        <v>1</v>
      </c>
      <c r="K42">
        <v>0</v>
      </c>
      <c r="O42" s="13" t="s">
        <v>7</v>
      </c>
      <c r="P42" s="13" t="s">
        <v>92</v>
      </c>
      <c r="AH42" s="13" t="s">
        <v>780</v>
      </c>
      <c r="AI42" s="13"/>
      <c r="AJ42" t="s">
        <v>291</v>
      </c>
      <c r="AK42" t="s">
        <v>256</v>
      </c>
      <c r="AL42">
        <v>43358</v>
      </c>
      <c r="AM42" t="s">
        <v>1036</v>
      </c>
    </row>
    <row r="43" spans="2:39" x14ac:dyDescent="0.3">
      <c r="F43" t="s">
        <v>7</v>
      </c>
      <c r="G43" t="s">
        <v>47</v>
      </c>
      <c r="H43">
        <v>200</v>
      </c>
      <c r="I43">
        <v>4</v>
      </c>
      <c r="J43">
        <v>1</v>
      </c>
      <c r="K43">
        <v>0</v>
      </c>
      <c r="O43" s="13" t="s">
        <v>7</v>
      </c>
      <c r="P43" s="13" t="s">
        <v>93</v>
      </c>
      <c r="AH43" s="13" t="s">
        <v>738</v>
      </c>
      <c r="AI43" s="13"/>
      <c r="AJ43" t="s">
        <v>292</v>
      </c>
      <c r="AK43" t="s">
        <v>256</v>
      </c>
      <c r="AL43">
        <v>43334</v>
      </c>
      <c r="AM43" t="s">
        <v>1036</v>
      </c>
    </row>
    <row r="44" spans="2:39" x14ac:dyDescent="0.3">
      <c r="F44" t="s">
        <v>7</v>
      </c>
      <c r="G44" t="s">
        <v>48</v>
      </c>
      <c r="H44">
        <v>200</v>
      </c>
      <c r="I44">
        <v>4</v>
      </c>
      <c r="J44">
        <v>1</v>
      </c>
      <c r="K44">
        <v>0</v>
      </c>
      <c r="O44" s="13" t="s">
        <v>7</v>
      </c>
      <c r="P44" s="13" t="s">
        <v>90</v>
      </c>
      <c r="AH44" s="13" t="s">
        <v>372</v>
      </c>
      <c r="AI44" s="13"/>
      <c r="AJ44" t="s">
        <v>293</v>
      </c>
      <c r="AK44" t="s">
        <v>245</v>
      </c>
      <c r="AL44">
        <v>43728</v>
      </c>
      <c r="AM44" t="s">
        <v>1036</v>
      </c>
    </row>
    <row r="45" spans="2:39" x14ac:dyDescent="0.3">
      <c r="F45" t="s">
        <v>7</v>
      </c>
      <c r="G45" t="s">
        <v>49</v>
      </c>
      <c r="H45">
        <v>200</v>
      </c>
      <c r="I45">
        <v>4</v>
      </c>
      <c r="J45">
        <v>0</v>
      </c>
      <c r="K45">
        <v>0</v>
      </c>
      <c r="O45" s="13" t="s">
        <v>7</v>
      </c>
      <c r="P45" s="13" t="s">
        <v>78</v>
      </c>
      <c r="AH45" s="13" t="s">
        <v>369</v>
      </c>
      <c r="AI45" s="13"/>
      <c r="AJ45" t="s">
        <v>294</v>
      </c>
      <c r="AK45" t="s">
        <v>241</v>
      </c>
      <c r="AL45">
        <v>43281</v>
      </c>
      <c r="AM45" t="s">
        <v>1036</v>
      </c>
    </row>
    <row r="46" spans="2:39" x14ac:dyDescent="0.3">
      <c r="F46" t="s">
        <v>7</v>
      </c>
      <c r="G46" t="s">
        <v>50</v>
      </c>
      <c r="H46">
        <v>200</v>
      </c>
      <c r="I46">
        <v>4</v>
      </c>
      <c r="J46">
        <v>0</v>
      </c>
      <c r="K46">
        <v>0</v>
      </c>
      <c r="O46" s="13" t="s">
        <v>7</v>
      </c>
      <c r="P46" s="13" t="s">
        <v>79</v>
      </c>
      <c r="AH46" s="13" t="s">
        <v>432</v>
      </c>
      <c r="AI46" s="13"/>
      <c r="AJ46" t="s">
        <v>295</v>
      </c>
      <c r="AK46" t="s">
        <v>290</v>
      </c>
      <c r="AL46">
        <v>43283</v>
      </c>
      <c r="AM46" t="s">
        <v>1036</v>
      </c>
    </row>
    <row r="47" spans="2:39" x14ac:dyDescent="0.3">
      <c r="F47" t="s">
        <v>7</v>
      </c>
      <c r="G47" t="s">
        <v>51</v>
      </c>
      <c r="H47">
        <v>200</v>
      </c>
      <c r="I47">
        <v>4</v>
      </c>
      <c r="J47">
        <v>1</v>
      </c>
      <c r="K47">
        <v>0</v>
      </c>
      <c r="O47" s="13" t="s">
        <v>7</v>
      </c>
      <c r="P47" s="13" t="s">
        <v>76</v>
      </c>
      <c r="AH47" s="13" t="s">
        <v>475</v>
      </c>
      <c r="AI47" s="13"/>
      <c r="AJ47" t="s">
        <v>296</v>
      </c>
      <c r="AK47" t="s">
        <v>290</v>
      </c>
      <c r="AL47">
        <v>43344</v>
      </c>
      <c r="AM47" t="s">
        <v>1036</v>
      </c>
    </row>
    <row r="48" spans="2:39" x14ac:dyDescent="0.3">
      <c r="F48" t="s">
        <v>7</v>
      </c>
      <c r="G48" t="s">
        <v>52</v>
      </c>
      <c r="H48">
        <v>200</v>
      </c>
      <c r="I48">
        <v>4</v>
      </c>
      <c r="J48">
        <v>1</v>
      </c>
      <c r="K48">
        <v>0</v>
      </c>
      <c r="O48" s="13" t="s">
        <v>7</v>
      </c>
      <c r="P48" s="13" t="s">
        <v>77</v>
      </c>
      <c r="AH48" s="13" t="s">
        <v>614</v>
      </c>
      <c r="AI48" s="13"/>
      <c r="AJ48" t="s">
        <v>297</v>
      </c>
      <c r="AK48" t="s">
        <v>290</v>
      </c>
      <c r="AL48">
        <v>43274</v>
      </c>
      <c r="AM48" t="s">
        <v>1036</v>
      </c>
    </row>
    <row r="49" spans="6:39" x14ac:dyDescent="0.3">
      <c r="F49" t="s">
        <v>7</v>
      </c>
      <c r="G49" t="s">
        <v>53</v>
      </c>
      <c r="H49">
        <v>200</v>
      </c>
      <c r="I49">
        <v>4</v>
      </c>
      <c r="J49">
        <v>1</v>
      </c>
      <c r="K49">
        <v>0</v>
      </c>
      <c r="O49" s="13" t="s">
        <v>7</v>
      </c>
      <c r="P49" s="13" t="s">
        <v>80</v>
      </c>
      <c r="AH49" s="13" t="s">
        <v>841</v>
      </c>
      <c r="AI49" s="13"/>
      <c r="AJ49" t="s">
        <v>298</v>
      </c>
      <c r="AK49" t="s">
        <v>299</v>
      </c>
      <c r="AL49">
        <v>43254</v>
      </c>
      <c r="AM49" t="s">
        <v>1036</v>
      </c>
    </row>
    <row r="50" spans="6:39" x14ac:dyDescent="0.3">
      <c r="F50" t="s">
        <v>7</v>
      </c>
      <c r="G50" t="s">
        <v>54</v>
      </c>
      <c r="H50">
        <v>200</v>
      </c>
      <c r="I50">
        <v>4</v>
      </c>
      <c r="J50">
        <v>0</v>
      </c>
      <c r="K50">
        <v>0</v>
      </c>
      <c r="O50" s="13" t="s">
        <v>7</v>
      </c>
      <c r="P50" s="13" t="s">
        <v>83</v>
      </c>
      <c r="AH50" s="13" t="s">
        <v>831</v>
      </c>
      <c r="AI50" s="13"/>
      <c r="AJ50" t="s">
        <v>300</v>
      </c>
      <c r="AK50" t="s">
        <v>301</v>
      </c>
      <c r="AL50">
        <v>43252</v>
      </c>
      <c r="AM50" t="s">
        <v>1033</v>
      </c>
    </row>
    <row r="51" spans="6:39" x14ac:dyDescent="0.3">
      <c r="F51" t="s">
        <v>7</v>
      </c>
      <c r="G51" t="s">
        <v>55</v>
      </c>
      <c r="H51">
        <v>200</v>
      </c>
      <c r="I51">
        <v>4</v>
      </c>
      <c r="J51">
        <v>0</v>
      </c>
      <c r="K51">
        <v>0</v>
      </c>
      <c r="O51" s="13" t="s">
        <v>7</v>
      </c>
      <c r="P51" s="13" t="s">
        <v>84</v>
      </c>
      <c r="AH51" s="13" t="s">
        <v>388</v>
      </c>
      <c r="AI51" s="13"/>
      <c r="AJ51" t="s">
        <v>302</v>
      </c>
      <c r="AK51" t="s">
        <v>303</v>
      </c>
      <c r="AL51">
        <v>43280</v>
      </c>
      <c r="AM51" t="s">
        <v>1035</v>
      </c>
    </row>
    <row r="52" spans="6:39" x14ac:dyDescent="0.3">
      <c r="F52" t="s">
        <v>7</v>
      </c>
      <c r="G52" t="s">
        <v>56</v>
      </c>
      <c r="H52">
        <v>200</v>
      </c>
      <c r="I52">
        <v>4</v>
      </c>
      <c r="J52">
        <v>1</v>
      </c>
      <c r="K52">
        <v>0</v>
      </c>
      <c r="O52" s="13" t="s">
        <v>7</v>
      </c>
      <c r="P52" s="13" t="s">
        <v>81</v>
      </c>
      <c r="AH52" s="13" t="s">
        <v>393</v>
      </c>
      <c r="AI52" s="13"/>
      <c r="AJ52" t="s">
        <v>304</v>
      </c>
      <c r="AK52" t="s">
        <v>256</v>
      </c>
      <c r="AL52">
        <v>43272</v>
      </c>
      <c r="AM52" t="s">
        <v>1036</v>
      </c>
    </row>
    <row r="53" spans="6:39" x14ac:dyDescent="0.3">
      <c r="F53" t="s">
        <v>7</v>
      </c>
      <c r="G53" t="s">
        <v>57</v>
      </c>
      <c r="H53">
        <v>200</v>
      </c>
      <c r="I53">
        <v>4</v>
      </c>
      <c r="J53">
        <v>0</v>
      </c>
      <c r="K53">
        <v>0</v>
      </c>
      <c r="O53" s="13" t="s">
        <v>7</v>
      </c>
      <c r="P53" s="13" t="s">
        <v>82</v>
      </c>
      <c r="AH53" s="13" t="s">
        <v>1013</v>
      </c>
      <c r="AI53" s="13"/>
      <c r="AJ53" t="s">
        <v>305</v>
      </c>
      <c r="AK53" t="s">
        <v>241</v>
      </c>
      <c r="AL53">
        <v>43231</v>
      </c>
      <c r="AM53" t="s">
        <v>1036</v>
      </c>
    </row>
    <row r="54" spans="6:39" x14ac:dyDescent="0.3">
      <c r="F54" t="s">
        <v>7</v>
      </c>
      <c r="G54" t="s">
        <v>58</v>
      </c>
      <c r="H54">
        <v>200</v>
      </c>
      <c r="I54">
        <v>4</v>
      </c>
      <c r="J54">
        <v>1</v>
      </c>
      <c r="K54">
        <v>0</v>
      </c>
      <c r="O54" s="13" t="s">
        <v>7</v>
      </c>
      <c r="P54" s="13" t="s">
        <v>105</v>
      </c>
      <c r="AH54" s="13" t="s">
        <v>773</v>
      </c>
      <c r="AI54" s="13"/>
      <c r="AJ54" t="s">
        <v>306</v>
      </c>
      <c r="AK54" t="s">
        <v>307</v>
      </c>
      <c r="AL54">
        <v>43227</v>
      </c>
      <c r="AM54" t="s">
        <v>1036</v>
      </c>
    </row>
    <row r="55" spans="6:39" x14ac:dyDescent="0.3">
      <c r="F55" t="s">
        <v>7</v>
      </c>
      <c r="G55" t="s">
        <v>59</v>
      </c>
      <c r="H55">
        <v>199.5</v>
      </c>
      <c r="I55">
        <v>4</v>
      </c>
      <c r="J55">
        <v>1</v>
      </c>
      <c r="K55">
        <v>0</v>
      </c>
      <c r="O55" s="13" t="s">
        <v>7</v>
      </c>
      <c r="P55" s="13" t="s">
        <v>106</v>
      </c>
      <c r="AH55" s="13" t="s">
        <v>426</v>
      </c>
      <c r="AI55" s="13"/>
      <c r="AJ55" t="s">
        <v>308</v>
      </c>
      <c r="AK55" t="s">
        <v>256</v>
      </c>
      <c r="AL55">
        <v>43217</v>
      </c>
      <c r="AM55" t="s">
        <v>1036</v>
      </c>
    </row>
    <row r="56" spans="6:39" x14ac:dyDescent="0.3">
      <c r="F56" t="s">
        <v>7</v>
      </c>
      <c r="G56" t="s">
        <v>60</v>
      </c>
      <c r="H56">
        <v>199.5</v>
      </c>
      <c r="I56">
        <v>4</v>
      </c>
      <c r="J56">
        <v>1</v>
      </c>
      <c r="K56">
        <v>0</v>
      </c>
      <c r="O56" s="13" t="s">
        <v>7</v>
      </c>
      <c r="P56" s="13" t="s">
        <v>103</v>
      </c>
      <c r="AH56" s="13" t="s">
        <v>856</v>
      </c>
      <c r="AI56" s="13"/>
      <c r="AJ56" t="s">
        <v>309</v>
      </c>
      <c r="AK56" t="s">
        <v>310</v>
      </c>
      <c r="AL56">
        <v>43187</v>
      </c>
      <c r="AM56" t="s">
        <v>1036</v>
      </c>
    </row>
    <row r="57" spans="6:39" x14ac:dyDescent="0.3">
      <c r="F57" t="s">
        <v>7</v>
      </c>
      <c r="G57" t="s">
        <v>61</v>
      </c>
      <c r="H57">
        <v>150</v>
      </c>
      <c r="I57">
        <v>3</v>
      </c>
      <c r="J57">
        <v>0</v>
      </c>
      <c r="K57">
        <v>0</v>
      </c>
      <c r="O57" s="13" t="s">
        <v>7</v>
      </c>
      <c r="P57" s="13" t="s">
        <v>104</v>
      </c>
      <c r="AH57" s="13" t="s">
        <v>389</v>
      </c>
      <c r="AI57" s="13"/>
      <c r="AJ57" t="s">
        <v>311</v>
      </c>
      <c r="AK57" t="s">
        <v>310</v>
      </c>
      <c r="AL57">
        <v>43195</v>
      </c>
      <c r="AM57" t="s">
        <v>1033</v>
      </c>
    </row>
    <row r="58" spans="6:39" x14ac:dyDescent="0.3">
      <c r="F58" t="s">
        <v>7</v>
      </c>
      <c r="G58" t="s">
        <v>62</v>
      </c>
      <c r="H58">
        <v>150</v>
      </c>
      <c r="I58">
        <v>3</v>
      </c>
      <c r="J58">
        <v>0</v>
      </c>
      <c r="K58">
        <v>0</v>
      </c>
      <c r="O58" s="13" t="s">
        <v>7</v>
      </c>
      <c r="P58" s="13" t="s">
        <v>107</v>
      </c>
      <c r="AH58" s="13" t="s">
        <v>504</v>
      </c>
      <c r="AI58" s="13"/>
      <c r="AJ58" t="s">
        <v>312</v>
      </c>
      <c r="AK58" t="s">
        <v>241</v>
      </c>
      <c r="AL58">
        <v>43186</v>
      </c>
      <c r="AM58" t="s">
        <v>1036</v>
      </c>
    </row>
    <row r="59" spans="6:39" x14ac:dyDescent="0.3">
      <c r="F59" t="s">
        <v>7</v>
      </c>
      <c r="G59" t="s">
        <v>63</v>
      </c>
      <c r="H59">
        <v>150</v>
      </c>
      <c r="I59">
        <v>3</v>
      </c>
      <c r="J59">
        <v>1</v>
      </c>
      <c r="K59">
        <v>0</v>
      </c>
      <c r="O59" s="13" t="s">
        <v>7</v>
      </c>
      <c r="P59" s="13" t="s">
        <v>110</v>
      </c>
      <c r="AH59" s="13" t="s">
        <v>779</v>
      </c>
      <c r="AI59" s="13"/>
      <c r="AJ59" t="s">
        <v>313</v>
      </c>
      <c r="AK59" t="s">
        <v>276</v>
      </c>
      <c r="AL59">
        <v>43410</v>
      </c>
      <c r="AM59" t="s">
        <v>1033</v>
      </c>
    </row>
    <row r="60" spans="6:39" x14ac:dyDescent="0.3">
      <c r="F60" t="s">
        <v>7</v>
      </c>
      <c r="G60" t="s">
        <v>64</v>
      </c>
      <c r="H60">
        <v>150</v>
      </c>
      <c r="I60">
        <v>3</v>
      </c>
      <c r="J60">
        <v>1</v>
      </c>
      <c r="K60">
        <v>0</v>
      </c>
      <c r="O60" s="13" t="s">
        <v>7</v>
      </c>
      <c r="P60" s="13" t="s">
        <v>8</v>
      </c>
      <c r="AH60" s="13" t="s">
        <v>983</v>
      </c>
      <c r="AI60" s="13"/>
      <c r="AJ60" t="s">
        <v>314</v>
      </c>
      <c r="AK60" t="s">
        <v>282</v>
      </c>
      <c r="AL60">
        <v>43372</v>
      </c>
      <c r="AM60" t="s">
        <v>1036</v>
      </c>
    </row>
    <row r="61" spans="6:39" x14ac:dyDescent="0.3">
      <c r="F61" t="s">
        <v>7</v>
      </c>
      <c r="G61" t="s">
        <v>65</v>
      </c>
      <c r="H61">
        <v>150</v>
      </c>
      <c r="I61">
        <v>3</v>
      </c>
      <c r="J61">
        <v>1</v>
      </c>
      <c r="K61">
        <v>0</v>
      </c>
      <c r="O61" s="13" t="s">
        <v>7</v>
      </c>
      <c r="P61" s="13" t="s">
        <v>108</v>
      </c>
      <c r="AH61" s="13" t="s">
        <v>911</v>
      </c>
      <c r="AI61" s="13"/>
      <c r="AJ61" t="s">
        <v>315</v>
      </c>
      <c r="AK61" t="s">
        <v>310</v>
      </c>
      <c r="AL61">
        <v>43181</v>
      </c>
      <c r="AM61" t="s">
        <v>1036</v>
      </c>
    </row>
    <row r="62" spans="6:39" x14ac:dyDescent="0.3">
      <c r="F62" t="s">
        <v>7</v>
      </c>
      <c r="G62" t="s">
        <v>66</v>
      </c>
      <c r="H62">
        <v>149.5</v>
      </c>
      <c r="I62">
        <v>3</v>
      </c>
      <c r="J62">
        <v>1</v>
      </c>
      <c r="K62">
        <v>0</v>
      </c>
      <c r="O62" s="13" t="s">
        <v>7</v>
      </c>
      <c r="P62" s="13" t="s">
        <v>109</v>
      </c>
      <c r="AH62" s="13" t="s">
        <v>543</v>
      </c>
      <c r="AI62" s="13"/>
      <c r="AJ62" t="s">
        <v>316</v>
      </c>
      <c r="AK62" t="s">
        <v>256</v>
      </c>
      <c r="AL62">
        <v>43193</v>
      </c>
      <c r="AM62" t="s">
        <v>1036</v>
      </c>
    </row>
    <row r="63" spans="6:39" x14ac:dyDescent="0.3">
      <c r="F63" t="s">
        <v>7</v>
      </c>
      <c r="G63" t="s">
        <v>67</v>
      </c>
      <c r="H63">
        <v>150</v>
      </c>
      <c r="I63">
        <v>3</v>
      </c>
      <c r="J63">
        <v>1</v>
      </c>
      <c r="K63">
        <v>0</v>
      </c>
      <c r="O63" s="13" t="s">
        <v>7</v>
      </c>
      <c r="P63" s="13" t="s">
        <v>96</v>
      </c>
      <c r="AH63" s="13" t="s">
        <v>366</v>
      </c>
      <c r="AI63" s="13"/>
      <c r="AJ63" t="s">
        <v>317</v>
      </c>
      <c r="AK63" t="s">
        <v>261</v>
      </c>
      <c r="AL63">
        <v>43149</v>
      </c>
      <c r="AM63" t="s">
        <v>1033</v>
      </c>
    </row>
    <row r="64" spans="6:39" x14ac:dyDescent="0.3">
      <c r="F64" t="s">
        <v>7</v>
      </c>
      <c r="G64" t="s">
        <v>68</v>
      </c>
      <c r="H64">
        <v>150</v>
      </c>
      <c r="I64">
        <v>3</v>
      </c>
      <c r="J64">
        <v>1</v>
      </c>
      <c r="K64">
        <v>0</v>
      </c>
      <c r="O64" s="13" t="s">
        <v>7</v>
      </c>
      <c r="P64" s="13" t="s">
        <v>97</v>
      </c>
      <c r="AH64" s="13" t="s">
        <v>672</v>
      </c>
      <c r="AI64" s="13"/>
      <c r="AJ64" t="s">
        <v>318</v>
      </c>
      <c r="AK64" t="s">
        <v>319</v>
      </c>
      <c r="AL64">
        <v>43116</v>
      </c>
      <c r="AM64" t="s">
        <v>1033</v>
      </c>
    </row>
    <row r="65" spans="6:39" x14ac:dyDescent="0.3">
      <c r="F65" t="s">
        <v>7</v>
      </c>
      <c r="G65" t="s">
        <v>69</v>
      </c>
      <c r="H65">
        <v>150</v>
      </c>
      <c r="I65">
        <v>3</v>
      </c>
      <c r="J65">
        <v>1</v>
      </c>
      <c r="K65">
        <v>0</v>
      </c>
      <c r="O65" s="13" t="s">
        <v>7</v>
      </c>
      <c r="P65" s="13" t="s">
        <v>94</v>
      </c>
      <c r="AH65" s="13" t="s">
        <v>523</v>
      </c>
      <c r="AI65" s="13"/>
      <c r="AJ65" t="s">
        <v>320</v>
      </c>
      <c r="AK65" t="s">
        <v>282</v>
      </c>
      <c r="AL65">
        <v>43112</v>
      </c>
      <c r="AM65" t="s">
        <v>1036</v>
      </c>
    </row>
    <row r="66" spans="6:39" x14ac:dyDescent="0.3">
      <c r="F66" t="s">
        <v>7</v>
      </c>
      <c r="G66" t="s">
        <v>70</v>
      </c>
      <c r="H66">
        <v>125</v>
      </c>
      <c r="I66">
        <v>3</v>
      </c>
      <c r="J66">
        <v>1</v>
      </c>
      <c r="K66">
        <v>0</v>
      </c>
      <c r="O66" s="13" t="s">
        <v>7</v>
      </c>
      <c r="P66" s="13" t="s">
        <v>95</v>
      </c>
      <c r="AH66" s="13" t="s">
        <v>838</v>
      </c>
      <c r="AI66" s="13"/>
      <c r="AJ66" t="s">
        <v>321</v>
      </c>
      <c r="AK66" t="s">
        <v>282</v>
      </c>
      <c r="AL66">
        <v>43099</v>
      </c>
      <c r="AM66" t="s">
        <v>1036</v>
      </c>
    </row>
    <row r="67" spans="6:39" x14ac:dyDescent="0.3">
      <c r="F67" t="s">
        <v>7</v>
      </c>
      <c r="G67" t="s">
        <v>71</v>
      </c>
      <c r="H67">
        <v>125</v>
      </c>
      <c r="I67">
        <v>3</v>
      </c>
      <c r="J67">
        <v>1</v>
      </c>
      <c r="K67">
        <v>0</v>
      </c>
      <c r="O67" s="13" t="s">
        <v>7</v>
      </c>
      <c r="P67" s="13" t="s">
        <v>98</v>
      </c>
      <c r="AH67" s="13" t="s">
        <v>640</v>
      </c>
      <c r="AI67" s="13"/>
      <c r="AJ67" t="s">
        <v>322</v>
      </c>
      <c r="AK67" t="s">
        <v>282</v>
      </c>
      <c r="AL67">
        <v>43099</v>
      </c>
      <c r="AM67" t="s">
        <v>1036</v>
      </c>
    </row>
    <row r="68" spans="6:39" x14ac:dyDescent="0.3">
      <c r="F68" t="s">
        <v>7</v>
      </c>
      <c r="G68" t="s">
        <v>72</v>
      </c>
      <c r="H68">
        <v>125</v>
      </c>
      <c r="I68">
        <v>3</v>
      </c>
      <c r="J68">
        <v>1</v>
      </c>
      <c r="K68">
        <v>0</v>
      </c>
      <c r="O68" s="13" t="s">
        <v>7</v>
      </c>
      <c r="P68" s="13" t="s">
        <v>101</v>
      </c>
      <c r="AH68" s="13" t="s">
        <v>957</v>
      </c>
      <c r="AI68" s="13"/>
      <c r="AJ68" t="s">
        <v>323</v>
      </c>
      <c r="AK68" t="s">
        <v>324</v>
      </c>
      <c r="AL68">
        <v>43098</v>
      </c>
      <c r="AM68" t="s">
        <v>1036</v>
      </c>
    </row>
    <row r="69" spans="6:39" x14ac:dyDescent="0.3">
      <c r="F69" t="s">
        <v>7</v>
      </c>
      <c r="G69" t="s">
        <v>73</v>
      </c>
      <c r="H69">
        <v>125</v>
      </c>
      <c r="I69">
        <v>3</v>
      </c>
      <c r="J69">
        <v>1</v>
      </c>
      <c r="K69">
        <v>0</v>
      </c>
      <c r="O69" s="13" t="s">
        <v>7</v>
      </c>
      <c r="P69" s="13" t="s">
        <v>102</v>
      </c>
      <c r="AH69" s="13" t="s">
        <v>722</v>
      </c>
      <c r="AI69" s="13"/>
      <c r="AJ69" t="s">
        <v>325</v>
      </c>
      <c r="AK69" t="s">
        <v>266</v>
      </c>
      <c r="AL69">
        <v>43462</v>
      </c>
      <c r="AM69" t="s">
        <v>1037</v>
      </c>
    </row>
    <row r="70" spans="6:39" x14ac:dyDescent="0.3">
      <c r="F70" t="s">
        <v>7</v>
      </c>
      <c r="G70" t="s">
        <v>74</v>
      </c>
      <c r="H70">
        <v>125</v>
      </c>
      <c r="I70">
        <v>3</v>
      </c>
      <c r="J70">
        <v>1</v>
      </c>
      <c r="K70">
        <v>0</v>
      </c>
      <c r="O70" s="13" t="s">
        <v>7</v>
      </c>
      <c r="P70" s="13" t="s">
        <v>99</v>
      </c>
      <c r="AH70" s="13" t="s">
        <v>579</v>
      </c>
      <c r="AI70" s="13"/>
      <c r="AJ70" t="s">
        <v>326</v>
      </c>
      <c r="AK70" t="s">
        <v>256</v>
      </c>
      <c r="AL70">
        <v>43099</v>
      </c>
      <c r="AM70" t="s">
        <v>1036</v>
      </c>
    </row>
    <row r="71" spans="6:39" x14ac:dyDescent="0.3">
      <c r="F71" t="s">
        <v>7</v>
      </c>
      <c r="G71" t="s">
        <v>75</v>
      </c>
      <c r="H71">
        <v>125</v>
      </c>
      <c r="I71">
        <v>3</v>
      </c>
      <c r="J71">
        <v>1</v>
      </c>
      <c r="K71">
        <v>0</v>
      </c>
      <c r="O71" s="13" t="s">
        <v>7</v>
      </c>
      <c r="P71" s="13" t="s">
        <v>100</v>
      </c>
      <c r="AH71" s="13" t="s">
        <v>371</v>
      </c>
      <c r="AI71" s="13"/>
      <c r="AJ71" t="s">
        <v>327</v>
      </c>
      <c r="AK71" t="s">
        <v>328</v>
      </c>
      <c r="AL71">
        <v>43215</v>
      </c>
      <c r="AM71" t="s">
        <v>1035</v>
      </c>
    </row>
    <row r="72" spans="6:39" x14ac:dyDescent="0.3">
      <c r="F72" t="s">
        <v>7</v>
      </c>
      <c r="G72" t="s">
        <v>76</v>
      </c>
      <c r="H72">
        <v>100</v>
      </c>
      <c r="I72">
        <v>2</v>
      </c>
      <c r="J72">
        <v>1</v>
      </c>
      <c r="K72">
        <v>0</v>
      </c>
      <c r="O72" s="13" t="s">
        <v>7</v>
      </c>
      <c r="P72" s="13" t="s">
        <v>32</v>
      </c>
      <c r="AH72" s="13" t="s">
        <v>380</v>
      </c>
      <c r="AI72" s="13"/>
      <c r="AJ72" t="s">
        <v>329</v>
      </c>
      <c r="AK72" t="s">
        <v>330</v>
      </c>
      <c r="AL72">
        <v>43098</v>
      </c>
      <c r="AM72" t="s">
        <v>1035</v>
      </c>
    </row>
    <row r="73" spans="6:39" x14ac:dyDescent="0.3">
      <c r="F73" t="s">
        <v>7</v>
      </c>
      <c r="G73" t="s">
        <v>77</v>
      </c>
      <c r="H73">
        <v>99</v>
      </c>
      <c r="I73">
        <v>2</v>
      </c>
      <c r="J73">
        <v>1</v>
      </c>
      <c r="K73">
        <v>0</v>
      </c>
      <c r="O73" s="13" t="s">
        <v>7</v>
      </c>
      <c r="P73" s="13" t="s">
        <v>31</v>
      </c>
      <c r="AH73" s="13" t="s">
        <v>420</v>
      </c>
      <c r="AI73" s="13"/>
      <c r="AJ73" t="s">
        <v>331</v>
      </c>
      <c r="AK73" t="s">
        <v>256</v>
      </c>
      <c r="AL73">
        <v>43097</v>
      </c>
      <c r="AM73" t="s">
        <v>1036</v>
      </c>
    </row>
    <row r="74" spans="6:39" x14ac:dyDescent="0.3">
      <c r="F74" t="s">
        <v>7</v>
      </c>
      <c r="G74" t="s">
        <v>78</v>
      </c>
      <c r="H74">
        <v>100</v>
      </c>
      <c r="I74">
        <v>2</v>
      </c>
      <c r="J74">
        <v>1</v>
      </c>
      <c r="K74">
        <v>0</v>
      </c>
      <c r="O74" s="13" t="s">
        <v>7</v>
      </c>
      <c r="P74" s="13" t="s">
        <v>34</v>
      </c>
      <c r="AH74" s="13" t="s">
        <v>1012</v>
      </c>
      <c r="AI74" s="13"/>
      <c r="AJ74" t="s">
        <v>332</v>
      </c>
      <c r="AK74" t="s">
        <v>330</v>
      </c>
      <c r="AL74">
        <v>43092</v>
      </c>
      <c r="AM74" t="s">
        <v>1035</v>
      </c>
    </row>
    <row r="75" spans="6:39" x14ac:dyDescent="0.3">
      <c r="F75" t="s">
        <v>7</v>
      </c>
      <c r="G75" t="s">
        <v>79</v>
      </c>
      <c r="H75">
        <v>100</v>
      </c>
      <c r="I75">
        <v>2</v>
      </c>
      <c r="J75">
        <v>1</v>
      </c>
      <c r="K75">
        <v>0</v>
      </c>
      <c r="O75" s="13" t="s">
        <v>7</v>
      </c>
      <c r="P75" s="13" t="s">
        <v>33</v>
      </c>
      <c r="AH75" s="13" t="s">
        <v>910</v>
      </c>
      <c r="AI75" s="13"/>
      <c r="AJ75" t="s">
        <v>333</v>
      </c>
      <c r="AK75" t="s">
        <v>282</v>
      </c>
      <c r="AL75">
        <v>43085</v>
      </c>
      <c r="AM75" t="s">
        <v>1036</v>
      </c>
    </row>
    <row r="76" spans="6:39" x14ac:dyDescent="0.3">
      <c r="F76" t="s">
        <v>7</v>
      </c>
      <c r="G76" t="s">
        <v>80</v>
      </c>
      <c r="H76">
        <v>100</v>
      </c>
      <c r="I76">
        <v>2</v>
      </c>
      <c r="J76">
        <v>0</v>
      </c>
      <c r="K76">
        <v>0</v>
      </c>
      <c r="O76" s="13" t="s">
        <v>7</v>
      </c>
      <c r="P76" s="13" t="s">
        <v>28</v>
      </c>
      <c r="AH76" s="13" t="s">
        <v>457</v>
      </c>
      <c r="AI76" s="13"/>
      <c r="AJ76" t="s">
        <v>334</v>
      </c>
      <c r="AK76" t="s">
        <v>256</v>
      </c>
      <c r="AL76">
        <v>43042</v>
      </c>
      <c r="AM76" t="s">
        <v>1036</v>
      </c>
    </row>
    <row r="77" spans="6:39" x14ac:dyDescent="0.3">
      <c r="F77" t="s">
        <v>7</v>
      </c>
      <c r="G77" t="s">
        <v>81</v>
      </c>
      <c r="H77">
        <v>250</v>
      </c>
      <c r="I77">
        <v>5</v>
      </c>
      <c r="J77">
        <v>1</v>
      </c>
      <c r="K77">
        <v>0</v>
      </c>
      <c r="O77" s="13" t="s">
        <v>7</v>
      </c>
      <c r="P77" s="13" t="s">
        <v>27</v>
      </c>
      <c r="AH77" s="13" t="s">
        <v>385</v>
      </c>
      <c r="AI77" s="13"/>
      <c r="AJ77" t="s">
        <v>335</v>
      </c>
      <c r="AK77" t="s">
        <v>282</v>
      </c>
      <c r="AL77">
        <v>43008</v>
      </c>
      <c r="AM77" t="s">
        <v>1036</v>
      </c>
    </row>
    <row r="78" spans="6:39" x14ac:dyDescent="0.3">
      <c r="F78" t="s">
        <v>7</v>
      </c>
      <c r="G78" t="s">
        <v>82</v>
      </c>
      <c r="H78">
        <v>200</v>
      </c>
      <c r="I78">
        <v>4</v>
      </c>
      <c r="J78">
        <v>1</v>
      </c>
      <c r="K78">
        <v>0</v>
      </c>
      <c r="O78" s="13" t="s">
        <v>7</v>
      </c>
      <c r="P78" s="13" t="s">
        <v>30</v>
      </c>
      <c r="AH78" s="13" t="s">
        <v>348</v>
      </c>
      <c r="AI78" s="13"/>
      <c r="AJ78" t="s">
        <v>336</v>
      </c>
      <c r="AK78" t="s">
        <v>282</v>
      </c>
      <c r="AL78">
        <v>43547</v>
      </c>
      <c r="AM78" t="s">
        <v>1036</v>
      </c>
    </row>
    <row r="79" spans="6:39" x14ac:dyDescent="0.3">
      <c r="F79" t="s">
        <v>7</v>
      </c>
      <c r="G79" t="s">
        <v>83</v>
      </c>
      <c r="H79">
        <v>50</v>
      </c>
      <c r="I79">
        <v>1</v>
      </c>
      <c r="J79">
        <v>0</v>
      </c>
      <c r="K79">
        <v>0</v>
      </c>
      <c r="O79" s="13" t="s">
        <v>7</v>
      </c>
      <c r="P79" s="13" t="s">
        <v>29</v>
      </c>
      <c r="AH79" s="13" t="s">
        <v>961</v>
      </c>
      <c r="AI79" s="13"/>
      <c r="AJ79" t="s">
        <v>337</v>
      </c>
      <c r="AK79" t="s">
        <v>282</v>
      </c>
      <c r="AL79">
        <v>43644</v>
      </c>
      <c r="AM79" t="s">
        <v>1036</v>
      </c>
    </row>
    <row r="80" spans="6:39" x14ac:dyDescent="0.3">
      <c r="F80" t="s">
        <v>7</v>
      </c>
      <c r="G80" t="s">
        <v>84</v>
      </c>
      <c r="H80">
        <v>42</v>
      </c>
      <c r="I80">
        <v>1</v>
      </c>
      <c r="J80">
        <v>0</v>
      </c>
      <c r="K80">
        <v>0</v>
      </c>
      <c r="O80" s="13" t="s">
        <v>7</v>
      </c>
      <c r="P80" s="13" t="s">
        <v>40</v>
      </c>
      <c r="AH80" s="13" t="s">
        <v>367</v>
      </c>
      <c r="AI80" s="13"/>
      <c r="AJ80" t="s">
        <v>338</v>
      </c>
      <c r="AK80" t="s">
        <v>241</v>
      </c>
      <c r="AL80">
        <v>43004</v>
      </c>
      <c r="AM80" t="s">
        <v>1036</v>
      </c>
    </row>
    <row r="81" spans="6:39" x14ac:dyDescent="0.3">
      <c r="F81" t="s">
        <v>7</v>
      </c>
      <c r="G81" t="s">
        <v>85</v>
      </c>
      <c r="H81">
        <v>300</v>
      </c>
      <c r="I81">
        <v>6</v>
      </c>
      <c r="J81">
        <v>1</v>
      </c>
      <c r="K81">
        <v>0</v>
      </c>
      <c r="O81" s="13" t="s">
        <v>7</v>
      </c>
      <c r="P81" s="13" t="s">
        <v>39</v>
      </c>
      <c r="AH81" s="13" t="s">
        <v>939</v>
      </c>
      <c r="AI81" s="13"/>
      <c r="AJ81" t="s">
        <v>339</v>
      </c>
      <c r="AK81" t="s">
        <v>241</v>
      </c>
      <c r="AL81">
        <v>42998</v>
      </c>
      <c r="AM81" t="s">
        <v>1036</v>
      </c>
    </row>
    <row r="82" spans="6:39" x14ac:dyDescent="0.3">
      <c r="F82" t="s">
        <v>7</v>
      </c>
      <c r="G82" t="s">
        <v>86</v>
      </c>
      <c r="H82">
        <v>300</v>
      </c>
      <c r="I82">
        <v>6</v>
      </c>
      <c r="J82">
        <v>1</v>
      </c>
      <c r="K82">
        <v>0</v>
      </c>
      <c r="O82" s="13" t="s">
        <v>7</v>
      </c>
      <c r="P82" s="13" t="s">
        <v>42</v>
      </c>
      <c r="AH82" s="13" t="s">
        <v>454</v>
      </c>
      <c r="AI82" s="13"/>
      <c r="AJ82" t="s">
        <v>340</v>
      </c>
      <c r="AK82" t="s">
        <v>341</v>
      </c>
      <c r="AL82">
        <v>42976</v>
      </c>
      <c r="AM82" t="s">
        <v>1035</v>
      </c>
    </row>
    <row r="83" spans="6:39" x14ac:dyDescent="0.3">
      <c r="F83" t="s">
        <v>7</v>
      </c>
      <c r="G83" t="s">
        <v>87</v>
      </c>
      <c r="H83">
        <v>250</v>
      </c>
      <c r="I83">
        <v>5</v>
      </c>
      <c r="J83">
        <v>1</v>
      </c>
      <c r="K83">
        <v>0</v>
      </c>
      <c r="O83" s="13" t="s">
        <v>7</v>
      </c>
      <c r="P83" s="13" t="s">
        <v>41</v>
      </c>
      <c r="AH83" s="13" t="s">
        <v>354</v>
      </c>
      <c r="AI83" s="13"/>
      <c r="AJ83" t="s">
        <v>342</v>
      </c>
      <c r="AK83" t="s">
        <v>343</v>
      </c>
      <c r="AL83">
        <v>42971</v>
      </c>
      <c r="AM83" t="s">
        <v>1035</v>
      </c>
    </row>
    <row r="84" spans="6:39" x14ac:dyDescent="0.3">
      <c r="F84" t="s">
        <v>7</v>
      </c>
      <c r="G84" t="s">
        <v>88</v>
      </c>
      <c r="H84">
        <v>250</v>
      </c>
      <c r="I84">
        <v>5</v>
      </c>
      <c r="J84">
        <v>1</v>
      </c>
      <c r="K84">
        <v>0</v>
      </c>
      <c r="O84" s="13" t="s">
        <v>7</v>
      </c>
      <c r="P84" s="13" t="s">
        <v>36</v>
      </c>
      <c r="AH84" s="13" t="s">
        <v>749</v>
      </c>
      <c r="AI84" s="13"/>
      <c r="AJ84" t="s">
        <v>344</v>
      </c>
      <c r="AK84" t="s">
        <v>241</v>
      </c>
      <c r="AL84">
        <v>42909</v>
      </c>
      <c r="AM84" t="s">
        <v>1036</v>
      </c>
    </row>
    <row r="85" spans="6:39" x14ac:dyDescent="0.3">
      <c r="F85" t="s">
        <v>7</v>
      </c>
      <c r="G85" t="s">
        <v>89</v>
      </c>
      <c r="H85">
        <v>200</v>
      </c>
      <c r="I85">
        <v>4</v>
      </c>
      <c r="J85">
        <v>1</v>
      </c>
      <c r="K85">
        <v>0</v>
      </c>
      <c r="O85" s="13" t="s">
        <v>7</v>
      </c>
      <c r="P85" s="13" t="s">
        <v>35</v>
      </c>
      <c r="AH85" s="13" t="s">
        <v>643</v>
      </c>
      <c r="AI85" s="13"/>
      <c r="AJ85" t="s">
        <v>345</v>
      </c>
      <c r="AK85" t="s">
        <v>241</v>
      </c>
      <c r="AL85">
        <v>42916</v>
      </c>
      <c r="AM85" t="s">
        <v>1036</v>
      </c>
    </row>
    <row r="86" spans="6:39" x14ac:dyDescent="0.3">
      <c r="F86" t="s">
        <v>7</v>
      </c>
      <c r="G86" t="s">
        <v>90</v>
      </c>
      <c r="H86">
        <v>200</v>
      </c>
      <c r="I86">
        <v>4</v>
      </c>
      <c r="J86">
        <v>1</v>
      </c>
      <c r="K86">
        <v>0</v>
      </c>
      <c r="O86" s="13" t="s">
        <v>7</v>
      </c>
      <c r="P86" s="13" t="s">
        <v>38</v>
      </c>
      <c r="AH86" s="13" t="s">
        <v>619</v>
      </c>
      <c r="AI86" s="13"/>
      <c r="AJ86" t="s">
        <v>346</v>
      </c>
      <c r="AK86" t="s">
        <v>347</v>
      </c>
      <c r="AL86">
        <v>43281</v>
      </c>
      <c r="AM86" t="s">
        <v>1035</v>
      </c>
    </row>
    <row r="87" spans="6:39" x14ac:dyDescent="0.3">
      <c r="F87" t="s">
        <v>7</v>
      </c>
      <c r="G87" t="s">
        <v>91</v>
      </c>
      <c r="H87">
        <v>300</v>
      </c>
      <c r="I87">
        <v>6</v>
      </c>
      <c r="J87">
        <v>1</v>
      </c>
      <c r="K87">
        <v>0</v>
      </c>
      <c r="O87" s="13" t="s">
        <v>7</v>
      </c>
      <c r="P87" s="13" t="s">
        <v>37</v>
      </c>
      <c r="AH87" s="13" t="s">
        <v>623</v>
      </c>
      <c r="AI87" s="13"/>
      <c r="AJ87" t="s">
        <v>348</v>
      </c>
      <c r="AK87" t="s">
        <v>341</v>
      </c>
      <c r="AL87">
        <v>42930</v>
      </c>
      <c r="AM87" t="s">
        <v>1035</v>
      </c>
    </row>
    <row r="88" spans="6:39" x14ac:dyDescent="0.3">
      <c r="F88" t="s">
        <v>7</v>
      </c>
      <c r="G88" t="s">
        <v>92</v>
      </c>
      <c r="H88">
        <v>300</v>
      </c>
      <c r="I88">
        <v>6</v>
      </c>
      <c r="J88">
        <v>1</v>
      </c>
      <c r="K88">
        <v>0</v>
      </c>
      <c r="O88" s="13" t="s">
        <v>7</v>
      </c>
      <c r="P88" s="13" t="s">
        <v>15</v>
      </c>
      <c r="AH88" s="13" t="s">
        <v>644</v>
      </c>
      <c r="AI88" s="13"/>
      <c r="AJ88" t="s">
        <v>349</v>
      </c>
      <c r="AK88" t="s">
        <v>350</v>
      </c>
      <c r="AL88">
        <v>42925</v>
      </c>
      <c r="AM88" t="s">
        <v>1033</v>
      </c>
    </row>
    <row r="89" spans="6:39" x14ac:dyDescent="0.3">
      <c r="F89" t="s">
        <v>7</v>
      </c>
      <c r="G89" t="s">
        <v>93</v>
      </c>
      <c r="H89">
        <v>300</v>
      </c>
      <c r="I89">
        <v>6</v>
      </c>
      <c r="J89">
        <v>1</v>
      </c>
      <c r="K89">
        <v>0</v>
      </c>
      <c r="O89" s="13" t="s">
        <v>7</v>
      </c>
      <c r="P89" s="13" t="s">
        <v>14</v>
      </c>
      <c r="AH89" s="13" t="s">
        <v>720</v>
      </c>
      <c r="AI89" s="13"/>
      <c r="AJ89" t="s">
        <v>351</v>
      </c>
      <c r="AK89" t="s">
        <v>350</v>
      </c>
      <c r="AL89">
        <v>42914</v>
      </c>
      <c r="AM89" t="s">
        <v>1033</v>
      </c>
    </row>
    <row r="90" spans="6:39" x14ac:dyDescent="0.3">
      <c r="F90" t="s">
        <v>7</v>
      </c>
      <c r="G90" t="s">
        <v>94</v>
      </c>
      <c r="H90">
        <v>300</v>
      </c>
      <c r="I90">
        <v>6</v>
      </c>
      <c r="J90">
        <v>1</v>
      </c>
      <c r="K90">
        <v>0</v>
      </c>
      <c r="O90" s="13" t="s">
        <v>7</v>
      </c>
      <c r="P90" s="13" t="s">
        <v>17</v>
      </c>
      <c r="AH90" s="13" t="s">
        <v>439</v>
      </c>
      <c r="AI90" s="13"/>
      <c r="AJ90" t="s">
        <v>352</v>
      </c>
      <c r="AK90" t="s">
        <v>241</v>
      </c>
      <c r="AL90">
        <v>42913</v>
      </c>
      <c r="AM90" t="s">
        <v>1036</v>
      </c>
    </row>
    <row r="91" spans="6:39" x14ac:dyDescent="0.3">
      <c r="F91" t="s">
        <v>7</v>
      </c>
      <c r="G91" t="s">
        <v>95</v>
      </c>
      <c r="H91">
        <v>250</v>
      </c>
      <c r="I91">
        <v>5</v>
      </c>
      <c r="J91">
        <v>1</v>
      </c>
      <c r="K91">
        <v>0</v>
      </c>
      <c r="O91" s="13" t="s">
        <v>7</v>
      </c>
      <c r="P91" s="13" t="s">
        <v>16</v>
      </c>
      <c r="AH91" s="13" t="s">
        <v>752</v>
      </c>
      <c r="AI91" s="13"/>
      <c r="AJ91" t="s">
        <v>353</v>
      </c>
      <c r="AK91" t="s">
        <v>256</v>
      </c>
      <c r="AL91">
        <v>42913</v>
      </c>
      <c r="AM91" t="s">
        <v>1036</v>
      </c>
    </row>
    <row r="92" spans="6:39" x14ac:dyDescent="0.3">
      <c r="F92" t="s">
        <v>7</v>
      </c>
      <c r="G92" t="s">
        <v>96</v>
      </c>
      <c r="H92">
        <v>250</v>
      </c>
      <c r="I92">
        <v>5</v>
      </c>
      <c r="J92">
        <v>1</v>
      </c>
      <c r="K92">
        <v>0</v>
      </c>
      <c r="O92" s="13" t="s">
        <v>7</v>
      </c>
      <c r="P92" s="13" t="s">
        <v>10</v>
      </c>
      <c r="AH92" s="13" t="s">
        <v>735</v>
      </c>
      <c r="AI92" s="13"/>
      <c r="AJ92" t="s">
        <v>354</v>
      </c>
      <c r="AK92" t="s">
        <v>341</v>
      </c>
      <c r="AL92">
        <v>42917</v>
      </c>
      <c r="AM92" t="s">
        <v>1035</v>
      </c>
    </row>
    <row r="93" spans="6:39" x14ac:dyDescent="0.3">
      <c r="F93" t="s">
        <v>7</v>
      </c>
      <c r="G93" t="s">
        <v>97</v>
      </c>
      <c r="H93">
        <v>250</v>
      </c>
      <c r="I93">
        <v>5</v>
      </c>
      <c r="J93">
        <v>1</v>
      </c>
      <c r="K93">
        <v>0</v>
      </c>
      <c r="O93" s="13" t="s">
        <v>7</v>
      </c>
      <c r="P93" s="13" t="s">
        <v>9</v>
      </c>
      <c r="AH93" s="13" t="s">
        <v>635</v>
      </c>
      <c r="AI93" s="13"/>
      <c r="AJ93" t="s">
        <v>355</v>
      </c>
      <c r="AK93" t="s">
        <v>328</v>
      </c>
      <c r="AL93">
        <v>43001</v>
      </c>
      <c r="AM93" t="s">
        <v>1035</v>
      </c>
    </row>
    <row r="94" spans="6:39" x14ac:dyDescent="0.3">
      <c r="F94" t="s">
        <v>7</v>
      </c>
      <c r="G94" t="s">
        <v>98</v>
      </c>
      <c r="H94">
        <v>200</v>
      </c>
      <c r="I94">
        <v>5</v>
      </c>
      <c r="J94">
        <v>1</v>
      </c>
      <c r="K94">
        <v>0</v>
      </c>
      <c r="O94" s="13" t="s">
        <v>7</v>
      </c>
      <c r="P94" s="13" t="s">
        <v>13</v>
      </c>
      <c r="AH94" s="13" t="s">
        <v>515</v>
      </c>
      <c r="AI94" s="13"/>
      <c r="AJ94" t="s">
        <v>356</v>
      </c>
      <c r="AK94" t="s">
        <v>241</v>
      </c>
      <c r="AL94">
        <v>42895</v>
      </c>
      <c r="AM94" t="s">
        <v>1036</v>
      </c>
    </row>
    <row r="95" spans="6:39" x14ac:dyDescent="0.3">
      <c r="F95" t="s">
        <v>7</v>
      </c>
      <c r="G95" t="s">
        <v>99</v>
      </c>
      <c r="H95">
        <v>250</v>
      </c>
      <c r="I95">
        <v>5</v>
      </c>
      <c r="J95">
        <v>1</v>
      </c>
      <c r="K95">
        <v>0</v>
      </c>
      <c r="O95" s="13" t="s">
        <v>7</v>
      </c>
      <c r="P95" s="13" t="s">
        <v>11</v>
      </c>
      <c r="AH95" s="13" t="s">
        <v>601</v>
      </c>
      <c r="AI95" s="13"/>
      <c r="AJ95" t="s">
        <v>357</v>
      </c>
      <c r="AK95" t="s">
        <v>241</v>
      </c>
      <c r="AL95">
        <v>43715</v>
      </c>
      <c r="AM95" t="s">
        <v>1036</v>
      </c>
    </row>
    <row r="96" spans="6:39" x14ac:dyDescent="0.3">
      <c r="F96" t="s">
        <v>7</v>
      </c>
      <c r="G96" t="s">
        <v>100</v>
      </c>
      <c r="H96">
        <v>200</v>
      </c>
      <c r="I96">
        <v>4</v>
      </c>
      <c r="J96">
        <v>1</v>
      </c>
      <c r="K96">
        <v>0</v>
      </c>
      <c r="O96" s="13" t="s">
        <v>7</v>
      </c>
      <c r="P96" s="13" t="s">
        <v>24</v>
      </c>
      <c r="AH96" s="13" t="s">
        <v>668</v>
      </c>
      <c r="AI96" s="13"/>
      <c r="AJ96" t="s">
        <v>358</v>
      </c>
      <c r="AK96" t="s">
        <v>256</v>
      </c>
      <c r="AL96">
        <v>42913</v>
      </c>
      <c r="AM96" t="s">
        <v>1036</v>
      </c>
    </row>
    <row r="97" spans="6:39" x14ac:dyDescent="0.3">
      <c r="F97" t="s">
        <v>7</v>
      </c>
      <c r="G97" t="s">
        <v>101</v>
      </c>
      <c r="H97">
        <v>200</v>
      </c>
      <c r="I97">
        <v>4</v>
      </c>
      <c r="J97">
        <v>1</v>
      </c>
      <c r="K97">
        <v>0</v>
      </c>
      <c r="O97" s="13" t="s">
        <v>7</v>
      </c>
      <c r="P97" s="13" t="s">
        <v>22</v>
      </c>
      <c r="AH97" s="13" t="s">
        <v>591</v>
      </c>
      <c r="AI97" s="13"/>
      <c r="AJ97" t="s">
        <v>359</v>
      </c>
      <c r="AK97" t="s">
        <v>256</v>
      </c>
      <c r="AL97">
        <v>42914</v>
      </c>
      <c r="AM97" t="s">
        <v>1036</v>
      </c>
    </row>
    <row r="98" spans="6:39" x14ac:dyDescent="0.3">
      <c r="F98" t="s">
        <v>7</v>
      </c>
      <c r="G98" t="s">
        <v>102</v>
      </c>
      <c r="H98">
        <v>200</v>
      </c>
      <c r="I98">
        <v>4</v>
      </c>
      <c r="J98">
        <v>1</v>
      </c>
      <c r="K98">
        <v>0</v>
      </c>
      <c r="O98" s="13" t="s">
        <v>7</v>
      </c>
      <c r="P98" s="13" t="s">
        <v>26</v>
      </c>
      <c r="AH98" s="13" t="s">
        <v>573</v>
      </c>
      <c r="AI98" s="13"/>
      <c r="AJ98" t="s">
        <v>360</v>
      </c>
      <c r="AK98" t="s">
        <v>361</v>
      </c>
      <c r="AL98">
        <v>42908</v>
      </c>
      <c r="AM98" t="s">
        <v>1036</v>
      </c>
    </row>
    <row r="99" spans="6:39" x14ac:dyDescent="0.3">
      <c r="F99" t="s">
        <v>7</v>
      </c>
      <c r="G99" t="s">
        <v>103</v>
      </c>
      <c r="H99">
        <v>200</v>
      </c>
      <c r="I99">
        <v>4</v>
      </c>
      <c r="J99">
        <v>1</v>
      </c>
      <c r="K99">
        <v>0</v>
      </c>
      <c r="O99" s="13" t="s">
        <v>7</v>
      </c>
      <c r="P99" s="13" t="s">
        <v>25</v>
      </c>
      <c r="AH99" s="13" t="s">
        <v>508</v>
      </c>
      <c r="AI99" s="13"/>
      <c r="AJ99" t="s">
        <v>362</v>
      </c>
      <c r="AK99" t="s">
        <v>363</v>
      </c>
      <c r="AL99">
        <v>42888</v>
      </c>
      <c r="AM99" t="s">
        <v>1037</v>
      </c>
    </row>
    <row r="100" spans="6:39" x14ac:dyDescent="0.3">
      <c r="F100" t="s">
        <v>7</v>
      </c>
      <c r="G100" t="s">
        <v>104</v>
      </c>
      <c r="H100">
        <v>200</v>
      </c>
      <c r="I100">
        <v>4</v>
      </c>
      <c r="J100">
        <v>1</v>
      </c>
      <c r="K100">
        <v>0</v>
      </c>
      <c r="O100" s="13" t="s">
        <v>7</v>
      </c>
      <c r="P100" s="13" t="s">
        <v>19</v>
      </c>
      <c r="AH100" s="13" t="s">
        <v>696</v>
      </c>
      <c r="AI100" s="13"/>
      <c r="AJ100" t="s">
        <v>364</v>
      </c>
      <c r="AK100" t="s">
        <v>282</v>
      </c>
      <c r="AL100">
        <v>42994</v>
      </c>
      <c r="AM100" t="s">
        <v>1036</v>
      </c>
    </row>
    <row r="101" spans="6:39" x14ac:dyDescent="0.3">
      <c r="F101" t="s">
        <v>7</v>
      </c>
      <c r="G101" t="s">
        <v>105</v>
      </c>
      <c r="H101">
        <v>200</v>
      </c>
      <c r="I101">
        <v>4</v>
      </c>
      <c r="J101">
        <v>1</v>
      </c>
      <c r="K101">
        <v>0</v>
      </c>
      <c r="O101" s="13" t="s">
        <v>7</v>
      </c>
      <c r="P101" s="13" t="s">
        <v>18</v>
      </c>
      <c r="AH101" s="13" t="s">
        <v>697</v>
      </c>
      <c r="AI101" s="13"/>
      <c r="AJ101" t="s">
        <v>365</v>
      </c>
      <c r="AK101" t="s">
        <v>350</v>
      </c>
      <c r="AL101">
        <v>42887</v>
      </c>
      <c r="AM101" t="s">
        <v>1033</v>
      </c>
    </row>
    <row r="102" spans="6:39" x14ac:dyDescent="0.3">
      <c r="F102" t="s">
        <v>7</v>
      </c>
      <c r="G102" t="s">
        <v>106</v>
      </c>
      <c r="H102">
        <v>300</v>
      </c>
      <c r="I102">
        <v>6</v>
      </c>
      <c r="J102">
        <v>1</v>
      </c>
      <c r="K102">
        <v>0</v>
      </c>
      <c r="O102" s="13" t="s">
        <v>7</v>
      </c>
      <c r="P102" s="13" t="s">
        <v>21</v>
      </c>
      <c r="AH102" s="13" t="s">
        <v>581</v>
      </c>
      <c r="AI102" s="13"/>
      <c r="AJ102" t="s">
        <v>366</v>
      </c>
      <c r="AK102" t="s">
        <v>341</v>
      </c>
      <c r="AL102">
        <v>42885</v>
      </c>
      <c r="AM102" t="s">
        <v>1035</v>
      </c>
    </row>
    <row r="103" spans="6:39" x14ac:dyDescent="0.3">
      <c r="F103" t="s">
        <v>7</v>
      </c>
      <c r="G103" t="s">
        <v>107</v>
      </c>
      <c r="H103">
        <v>250</v>
      </c>
      <c r="I103">
        <v>5</v>
      </c>
      <c r="J103">
        <v>1</v>
      </c>
      <c r="K103">
        <v>0</v>
      </c>
      <c r="O103" s="13" t="s">
        <v>7</v>
      </c>
      <c r="P103" s="13" t="s">
        <v>20</v>
      </c>
      <c r="AH103" s="13" t="s">
        <v>476</v>
      </c>
      <c r="AI103" s="13"/>
      <c r="AJ103" t="s">
        <v>367</v>
      </c>
      <c r="AK103" t="s">
        <v>341</v>
      </c>
      <c r="AL103">
        <v>42884</v>
      </c>
      <c r="AM103" t="s">
        <v>1035</v>
      </c>
    </row>
    <row r="104" spans="6:39" x14ac:dyDescent="0.3">
      <c r="F104" t="s">
        <v>7</v>
      </c>
      <c r="G104" t="s">
        <v>108</v>
      </c>
      <c r="H104">
        <v>300</v>
      </c>
      <c r="I104">
        <v>6</v>
      </c>
      <c r="J104">
        <v>0</v>
      </c>
      <c r="K104">
        <v>0</v>
      </c>
      <c r="O104" s="13" t="s">
        <v>7</v>
      </c>
      <c r="P104" s="13" t="s">
        <v>65</v>
      </c>
      <c r="AH104" s="13" t="s">
        <v>804</v>
      </c>
      <c r="AI104" s="13"/>
      <c r="AJ104" t="s">
        <v>368</v>
      </c>
      <c r="AK104" t="s">
        <v>350</v>
      </c>
      <c r="AL104">
        <v>42880</v>
      </c>
      <c r="AM104" t="s">
        <v>1033</v>
      </c>
    </row>
    <row r="105" spans="6:39" x14ac:dyDescent="0.3">
      <c r="F105" t="s">
        <v>7</v>
      </c>
      <c r="G105" t="s">
        <v>109</v>
      </c>
      <c r="H105">
        <v>300</v>
      </c>
      <c r="I105">
        <v>6</v>
      </c>
      <c r="J105">
        <v>1</v>
      </c>
      <c r="K105">
        <v>0</v>
      </c>
      <c r="O105" s="13" t="s">
        <v>7</v>
      </c>
      <c r="P105" s="13" t="s">
        <v>64</v>
      </c>
      <c r="AH105" s="13" t="s">
        <v>656</v>
      </c>
      <c r="AI105" s="13"/>
      <c r="AJ105" t="s">
        <v>369</v>
      </c>
      <c r="AK105" t="s">
        <v>341</v>
      </c>
      <c r="AL105">
        <v>42864</v>
      </c>
      <c r="AM105" t="s">
        <v>1035</v>
      </c>
    </row>
    <row r="106" spans="6:39" x14ac:dyDescent="0.3">
      <c r="F106" t="s">
        <v>7</v>
      </c>
      <c r="G106" t="s">
        <v>110</v>
      </c>
      <c r="H106">
        <v>250</v>
      </c>
      <c r="I106">
        <v>5</v>
      </c>
      <c r="J106">
        <v>1</v>
      </c>
      <c r="K106">
        <v>0</v>
      </c>
      <c r="O106" s="13" t="s">
        <v>7</v>
      </c>
      <c r="P106" s="13" t="s">
        <v>67</v>
      </c>
      <c r="AH106" s="13" t="s">
        <v>650</v>
      </c>
      <c r="AI106" s="13"/>
      <c r="AJ106" t="s">
        <v>370</v>
      </c>
      <c r="AK106" t="s">
        <v>241</v>
      </c>
      <c r="AL106">
        <v>42843</v>
      </c>
      <c r="AM106" t="s">
        <v>1036</v>
      </c>
    </row>
    <row r="107" spans="6:39" x14ac:dyDescent="0.3">
      <c r="F107" t="s">
        <v>111</v>
      </c>
      <c r="G107" t="s">
        <v>112</v>
      </c>
      <c r="H107">
        <v>250</v>
      </c>
      <c r="I107">
        <v>6</v>
      </c>
      <c r="J107">
        <v>0</v>
      </c>
      <c r="K107">
        <v>0</v>
      </c>
      <c r="O107" s="13" t="s">
        <v>7</v>
      </c>
      <c r="P107" s="13" t="s">
        <v>66</v>
      </c>
      <c r="AH107" s="13" t="s">
        <v>970</v>
      </c>
      <c r="AI107" s="13"/>
      <c r="AJ107" t="s">
        <v>371</v>
      </c>
      <c r="AK107" t="s">
        <v>341</v>
      </c>
      <c r="AL107">
        <v>42826</v>
      </c>
      <c r="AM107" t="s">
        <v>1035</v>
      </c>
    </row>
    <row r="108" spans="6:39" x14ac:dyDescent="0.3">
      <c r="F108" t="s">
        <v>111</v>
      </c>
      <c r="G108" t="s">
        <v>113</v>
      </c>
      <c r="H108">
        <v>250</v>
      </c>
      <c r="I108">
        <v>6</v>
      </c>
      <c r="J108">
        <v>0</v>
      </c>
      <c r="K108">
        <v>0</v>
      </c>
      <c r="O108" s="13" t="s">
        <v>7</v>
      </c>
      <c r="P108" s="13" t="s">
        <v>61</v>
      </c>
      <c r="AH108" s="13" t="s">
        <v>741</v>
      </c>
      <c r="AI108" s="13"/>
      <c r="AJ108" t="s">
        <v>372</v>
      </c>
      <c r="AK108" t="s">
        <v>341</v>
      </c>
      <c r="AL108">
        <v>42827</v>
      </c>
      <c r="AM108" t="s">
        <v>1035</v>
      </c>
    </row>
    <row r="109" spans="6:39" x14ac:dyDescent="0.3">
      <c r="F109" t="s">
        <v>111</v>
      </c>
      <c r="G109" t="s">
        <v>114</v>
      </c>
      <c r="H109">
        <v>250</v>
      </c>
      <c r="I109">
        <v>6</v>
      </c>
      <c r="J109">
        <v>0</v>
      </c>
      <c r="K109">
        <v>0</v>
      </c>
      <c r="O109" s="13" t="s">
        <v>7</v>
      </c>
      <c r="P109" s="13" t="s">
        <v>60</v>
      </c>
      <c r="AH109" s="13" t="s">
        <v>964</v>
      </c>
      <c r="AI109" s="13"/>
      <c r="AJ109" t="s">
        <v>373</v>
      </c>
      <c r="AK109" t="s">
        <v>374</v>
      </c>
      <c r="AL109">
        <v>42826</v>
      </c>
      <c r="AM109" t="s">
        <v>1033</v>
      </c>
    </row>
    <row r="110" spans="6:39" x14ac:dyDescent="0.3">
      <c r="F110" t="s">
        <v>111</v>
      </c>
      <c r="G110" t="s">
        <v>115</v>
      </c>
      <c r="H110">
        <v>200</v>
      </c>
      <c r="I110">
        <v>6</v>
      </c>
      <c r="J110">
        <v>0</v>
      </c>
      <c r="K110">
        <v>0</v>
      </c>
      <c r="O110" s="13" t="s">
        <v>7</v>
      </c>
      <c r="P110" s="13" t="s">
        <v>63</v>
      </c>
      <c r="AH110" s="13" t="s">
        <v>893</v>
      </c>
      <c r="AI110" s="13"/>
      <c r="AJ110" t="s">
        <v>375</v>
      </c>
      <c r="AK110" t="s">
        <v>276</v>
      </c>
      <c r="AL110">
        <v>43396</v>
      </c>
      <c r="AM110" t="s">
        <v>1033</v>
      </c>
    </row>
    <row r="111" spans="6:39" x14ac:dyDescent="0.3">
      <c r="F111" t="s">
        <v>111</v>
      </c>
      <c r="G111" t="s">
        <v>116</v>
      </c>
      <c r="H111">
        <v>200</v>
      </c>
      <c r="I111">
        <v>6</v>
      </c>
      <c r="J111">
        <v>0</v>
      </c>
      <c r="K111">
        <v>0</v>
      </c>
      <c r="O111" s="13" t="s">
        <v>7</v>
      </c>
      <c r="P111" s="13" t="s">
        <v>62</v>
      </c>
      <c r="AH111" s="13" t="s">
        <v>874</v>
      </c>
      <c r="AI111" s="13"/>
      <c r="AJ111" t="s">
        <v>376</v>
      </c>
      <c r="AK111" t="s">
        <v>341</v>
      </c>
      <c r="AL111">
        <v>42826</v>
      </c>
      <c r="AM111" t="s">
        <v>1035</v>
      </c>
    </row>
    <row r="112" spans="6:39" x14ac:dyDescent="0.3">
      <c r="F112" t="s">
        <v>111</v>
      </c>
      <c r="G112" t="s">
        <v>117</v>
      </c>
      <c r="H112">
        <v>200</v>
      </c>
      <c r="I112">
        <v>5</v>
      </c>
      <c r="J112">
        <v>0</v>
      </c>
      <c r="K112">
        <v>0</v>
      </c>
      <c r="O112" s="13" t="s">
        <v>7</v>
      </c>
      <c r="P112" s="13" t="s">
        <v>73</v>
      </c>
      <c r="AH112" s="13" t="s">
        <v>876</v>
      </c>
      <c r="AI112" s="13"/>
      <c r="AJ112" t="s">
        <v>377</v>
      </c>
      <c r="AK112" t="s">
        <v>241</v>
      </c>
      <c r="AL112">
        <v>42826</v>
      </c>
      <c r="AM112" t="s">
        <v>1036</v>
      </c>
    </row>
    <row r="113" spans="6:39" x14ac:dyDescent="0.3">
      <c r="F113" t="s">
        <v>111</v>
      </c>
      <c r="G113" t="s">
        <v>118</v>
      </c>
      <c r="H113">
        <v>200</v>
      </c>
      <c r="I113">
        <v>5</v>
      </c>
      <c r="J113">
        <v>1</v>
      </c>
      <c r="K113">
        <v>0</v>
      </c>
      <c r="O113" s="13" t="s">
        <v>7</v>
      </c>
      <c r="P113" s="13" t="s">
        <v>72</v>
      </c>
      <c r="AH113" s="13" t="s">
        <v>770</v>
      </c>
      <c r="AI113" s="13"/>
      <c r="AJ113" t="s">
        <v>378</v>
      </c>
      <c r="AK113" t="s">
        <v>256</v>
      </c>
      <c r="AL113">
        <v>42917</v>
      </c>
      <c r="AM113" t="s">
        <v>1036</v>
      </c>
    </row>
    <row r="114" spans="6:39" x14ac:dyDescent="0.3">
      <c r="F114" t="s">
        <v>111</v>
      </c>
      <c r="G114" t="s">
        <v>119</v>
      </c>
      <c r="H114">
        <v>200</v>
      </c>
      <c r="I114">
        <v>6</v>
      </c>
      <c r="J114">
        <v>0</v>
      </c>
      <c r="K114">
        <v>0</v>
      </c>
      <c r="O114" s="13" t="s">
        <v>7</v>
      </c>
      <c r="P114" s="13" t="s">
        <v>75</v>
      </c>
      <c r="AH114" s="13" t="s">
        <v>806</v>
      </c>
      <c r="AI114" s="13"/>
      <c r="AJ114" t="s">
        <v>379</v>
      </c>
      <c r="AK114" t="s">
        <v>282</v>
      </c>
      <c r="AL114">
        <v>43008</v>
      </c>
      <c r="AM114" t="s">
        <v>1036</v>
      </c>
    </row>
    <row r="115" spans="6:39" x14ac:dyDescent="0.3">
      <c r="F115" t="s">
        <v>111</v>
      </c>
      <c r="G115" t="s">
        <v>120</v>
      </c>
      <c r="H115">
        <v>200</v>
      </c>
      <c r="I115">
        <v>5</v>
      </c>
      <c r="J115">
        <v>0</v>
      </c>
      <c r="K115">
        <v>0</v>
      </c>
      <c r="O115" s="13" t="s">
        <v>7</v>
      </c>
      <c r="P115" s="13" t="s">
        <v>74</v>
      </c>
      <c r="AH115" s="13" t="s">
        <v>544</v>
      </c>
      <c r="AI115" s="13"/>
      <c r="AJ115" t="s">
        <v>380</v>
      </c>
      <c r="AK115" t="s">
        <v>341</v>
      </c>
      <c r="AL115">
        <v>42826</v>
      </c>
      <c r="AM115" t="s">
        <v>1035</v>
      </c>
    </row>
    <row r="116" spans="6:39" x14ac:dyDescent="0.3">
      <c r="F116" t="s">
        <v>111</v>
      </c>
      <c r="G116" t="s">
        <v>121</v>
      </c>
      <c r="H116">
        <v>200</v>
      </c>
      <c r="I116">
        <v>6</v>
      </c>
      <c r="J116">
        <v>0</v>
      </c>
      <c r="K116">
        <v>0</v>
      </c>
      <c r="O116" s="13" t="s">
        <v>7</v>
      </c>
      <c r="P116" s="13" t="s">
        <v>69</v>
      </c>
      <c r="AH116" s="13" t="s">
        <v>984</v>
      </c>
      <c r="AI116" s="13"/>
      <c r="AJ116" t="s">
        <v>381</v>
      </c>
      <c r="AK116" t="s">
        <v>341</v>
      </c>
      <c r="AL116">
        <v>42826</v>
      </c>
      <c r="AM116" t="s">
        <v>1035</v>
      </c>
    </row>
    <row r="117" spans="6:39" x14ac:dyDescent="0.3">
      <c r="F117" t="s">
        <v>111</v>
      </c>
      <c r="G117" t="s">
        <v>122</v>
      </c>
      <c r="H117">
        <v>200</v>
      </c>
      <c r="I117">
        <v>6</v>
      </c>
      <c r="J117">
        <v>0</v>
      </c>
      <c r="K117">
        <v>0</v>
      </c>
      <c r="O117" s="13" t="s">
        <v>7</v>
      </c>
      <c r="P117" s="13" t="s">
        <v>68</v>
      </c>
      <c r="AH117" s="13" t="s">
        <v>877</v>
      </c>
      <c r="AI117" s="13"/>
      <c r="AJ117" t="s">
        <v>382</v>
      </c>
      <c r="AK117" t="s">
        <v>256</v>
      </c>
      <c r="AL117">
        <v>42826</v>
      </c>
      <c r="AM117" t="s">
        <v>1036</v>
      </c>
    </row>
    <row r="118" spans="6:39" x14ac:dyDescent="0.3">
      <c r="F118" t="s">
        <v>111</v>
      </c>
      <c r="G118" t="s">
        <v>123</v>
      </c>
      <c r="H118">
        <v>200</v>
      </c>
      <c r="I118">
        <v>5</v>
      </c>
      <c r="J118">
        <v>1</v>
      </c>
      <c r="K118">
        <v>0</v>
      </c>
      <c r="O118" s="13" t="s">
        <v>7</v>
      </c>
      <c r="P118" s="13" t="s">
        <v>71</v>
      </c>
      <c r="AH118" s="13" t="s">
        <v>808</v>
      </c>
      <c r="AI118" s="13"/>
      <c r="AJ118" t="s">
        <v>383</v>
      </c>
      <c r="AK118" t="s">
        <v>384</v>
      </c>
      <c r="AL118">
        <v>42828</v>
      </c>
      <c r="AM118" t="s">
        <v>1037</v>
      </c>
    </row>
    <row r="119" spans="6:39" x14ac:dyDescent="0.3">
      <c r="F119" t="s">
        <v>111</v>
      </c>
      <c r="G119" t="s">
        <v>124</v>
      </c>
      <c r="H119">
        <v>200</v>
      </c>
      <c r="I119">
        <v>5</v>
      </c>
      <c r="J119">
        <v>1</v>
      </c>
      <c r="K119">
        <v>0</v>
      </c>
      <c r="O119" s="13" t="s">
        <v>7</v>
      </c>
      <c r="P119" s="13" t="s">
        <v>70</v>
      </c>
      <c r="AH119" s="13" t="s">
        <v>539</v>
      </c>
      <c r="AI119" s="13"/>
      <c r="AJ119" t="s">
        <v>385</v>
      </c>
      <c r="AK119" t="s">
        <v>341</v>
      </c>
      <c r="AL119">
        <v>42816</v>
      </c>
      <c r="AM119" t="s">
        <v>1035</v>
      </c>
    </row>
    <row r="120" spans="6:39" x14ac:dyDescent="0.3">
      <c r="F120" t="s">
        <v>111</v>
      </c>
      <c r="G120" t="s">
        <v>125</v>
      </c>
      <c r="H120">
        <v>200</v>
      </c>
      <c r="I120">
        <v>5</v>
      </c>
      <c r="J120">
        <v>1</v>
      </c>
      <c r="K120">
        <v>0</v>
      </c>
      <c r="O120" s="13" t="s">
        <v>7</v>
      </c>
      <c r="P120" s="13" t="s">
        <v>49</v>
      </c>
      <c r="AH120" s="13" t="s">
        <v>362</v>
      </c>
      <c r="AI120" s="13"/>
      <c r="AJ120" t="s">
        <v>386</v>
      </c>
      <c r="AK120" t="s">
        <v>384</v>
      </c>
      <c r="AL120">
        <v>42808</v>
      </c>
      <c r="AM120" t="s">
        <v>1037</v>
      </c>
    </row>
    <row r="121" spans="6:39" x14ac:dyDescent="0.3">
      <c r="F121" t="s">
        <v>111</v>
      </c>
      <c r="G121" t="s">
        <v>126</v>
      </c>
      <c r="H121">
        <v>125</v>
      </c>
      <c r="I121">
        <v>6</v>
      </c>
      <c r="J121">
        <v>0</v>
      </c>
      <c r="K121">
        <v>0</v>
      </c>
      <c r="O121" s="13" t="s">
        <v>7</v>
      </c>
      <c r="P121" s="13" t="s">
        <v>48</v>
      </c>
      <c r="AH121" s="13" t="s">
        <v>441</v>
      </c>
      <c r="AI121" s="13"/>
      <c r="AJ121" t="s">
        <v>387</v>
      </c>
      <c r="AK121" t="s">
        <v>256</v>
      </c>
      <c r="AL121">
        <v>42820</v>
      </c>
      <c r="AM121" t="s">
        <v>1036</v>
      </c>
    </row>
    <row r="122" spans="6:39" x14ac:dyDescent="0.3">
      <c r="F122" t="s">
        <v>111</v>
      </c>
      <c r="G122" t="s">
        <v>127</v>
      </c>
      <c r="H122">
        <v>125</v>
      </c>
      <c r="I122">
        <v>6</v>
      </c>
      <c r="J122">
        <v>0</v>
      </c>
      <c r="K122">
        <v>0</v>
      </c>
      <c r="O122" s="13" t="s">
        <v>7</v>
      </c>
      <c r="P122" s="13" t="s">
        <v>51</v>
      </c>
      <c r="AH122" s="13" t="s">
        <v>560</v>
      </c>
      <c r="AI122" s="13"/>
      <c r="AJ122" t="s">
        <v>388</v>
      </c>
      <c r="AK122" t="s">
        <v>341</v>
      </c>
      <c r="AL122">
        <v>42826</v>
      </c>
      <c r="AM122" t="s">
        <v>1036</v>
      </c>
    </row>
    <row r="123" spans="6:39" x14ac:dyDescent="0.3">
      <c r="F123" t="s">
        <v>111</v>
      </c>
      <c r="G123" t="s">
        <v>128</v>
      </c>
      <c r="H123">
        <v>100</v>
      </c>
      <c r="I123">
        <v>3</v>
      </c>
      <c r="J123">
        <v>0</v>
      </c>
      <c r="K123">
        <v>0</v>
      </c>
      <c r="O123" s="13" t="s">
        <v>7</v>
      </c>
      <c r="P123" s="13" t="s">
        <v>50</v>
      </c>
      <c r="AH123" s="13" t="s">
        <v>442</v>
      </c>
      <c r="AI123" s="13"/>
      <c r="AJ123" t="s">
        <v>389</v>
      </c>
      <c r="AK123" t="s">
        <v>341</v>
      </c>
      <c r="AL123">
        <v>42826</v>
      </c>
      <c r="AM123" t="s">
        <v>1035</v>
      </c>
    </row>
    <row r="124" spans="6:39" x14ac:dyDescent="0.3">
      <c r="F124" t="s">
        <v>111</v>
      </c>
      <c r="G124" t="s">
        <v>129</v>
      </c>
      <c r="H124">
        <v>100</v>
      </c>
      <c r="I124">
        <v>3</v>
      </c>
      <c r="J124">
        <v>0</v>
      </c>
      <c r="K124">
        <v>0</v>
      </c>
      <c r="O124" s="13" t="s">
        <v>7</v>
      </c>
      <c r="P124" s="13" t="s">
        <v>45</v>
      </c>
      <c r="AH124" s="13" t="s">
        <v>870</v>
      </c>
      <c r="AI124" s="13"/>
      <c r="AJ124" t="s">
        <v>390</v>
      </c>
      <c r="AK124" t="s">
        <v>341</v>
      </c>
      <c r="AL124">
        <v>42816</v>
      </c>
      <c r="AM124" t="s">
        <v>1035</v>
      </c>
    </row>
    <row r="125" spans="6:39" x14ac:dyDescent="0.3">
      <c r="F125" t="s">
        <v>111</v>
      </c>
      <c r="G125" t="s">
        <v>130</v>
      </c>
      <c r="H125">
        <v>100</v>
      </c>
      <c r="I125">
        <v>5</v>
      </c>
      <c r="J125">
        <v>0</v>
      </c>
      <c r="K125">
        <v>0</v>
      </c>
      <c r="O125" s="13" t="s">
        <v>7</v>
      </c>
      <c r="P125" s="13" t="s">
        <v>44</v>
      </c>
      <c r="AH125" s="13" t="s">
        <v>585</v>
      </c>
      <c r="AI125" s="13"/>
      <c r="AJ125" t="s">
        <v>391</v>
      </c>
      <c r="AK125" t="s">
        <v>392</v>
      </c>
      <c r="AL125">
        <v>42810.541666666664</v>
      </c>
      <c r="AM125" t="s">
        <v>1033</v>
      </c>
    </row>
    <row r="126" spans="6:39" x14ac:dyDescent="0.3">
      <c r="F126" t="s">
        <v>111</v>
      </c>
      <c r="G126" t="s">
        <v>131</v>
      </c>
      <c r="H126">
        <v>100</v>
      </c>
      <c r="I126">
        <v>2</v>
      </c>
      <c r="J126">
        <v>1</v>
      </c>
      <c r="K126">
        <v>0</v>
      </c>
      <c r="O126" s="13" t="s">
        <v>7</v>
      </c>
      <c r="P126" s="13" t="s">
        <v>47</v>
      </c>
      <c r="AH126" s="13" t="s">
        <v>756</v>
      </c>
      <c r="AI126" s="13"/>
      <c r="AJ126" t="s">
        <v>393</v>
      </c>
      <c r="AK126" t="s">
        <v>341</v>
      </c>
      <c r="AL126">
        <v>42805</v>
      </c>
      <c r="AM126" t="s">
        <v>1035</v>
      </c>
    </row>
    <row r="127" spans="6:39" x14ac:dyDescent="0.3">
      <c r="F127" t="s">
        <v>132</v>
      </c>
      <c r="G127" t="s">
        <v>133</v>
      </c>
      <c r="H127">
        <v>300</v>
      </c>
      <c r="I127">
        <v>4</v>
      </c>
      <c r="J127">
        <v>1</v>
      </c>
      <c r="K127">
        <v>0</v>
      </c>
      <c r="O127" s="13" t="s">
        <v>7</v>
      </c>
      <c r="P127" s="13" t="s">
        <v>46</v>
      </c>
      <c r="AH127" s="13" t="s">
        <v>979</v>
      </c>
      <c r="AI127" s="13"/>
      <c r="AJ127" t="s">
        <v>394</v>
      </c>
      <c r="AK127" t="s">
        <v>256</v>
      </c>
      <c r="AL127">
        <v>42781</v>
      </c>
      <c r="AM127" t="s">
        <v>1036</v>
      </c>
    </row>
    <row r="128" spans="6:39" x14ac:dyDescent="0.3">
      <c r="F128" t="s">
        <v>132</v>
      </c>
      <c r="G128" t="s">
        <v>134</v>
      </c>
      <c r="H128">
        <v>300</v>
      </c>
      <c r="I128">
        <v>4</v>
      </c>
      <c r="J128">
        <v>0</v>
      </c>
      <c r="K128">
        <v>0</v>
      </c>
      <c r="O128" s="13" t="s">
        <v>7</v>
      </c>
      <c r="P128" s="13" t="s">
        <v>57</v>
      </c>
      <c r="AH128" s="13" t="s">
        <v>785</v>
      </c>
      <c r="AI128" s="13"/>
      <c r="AJ128" t="s">
        <v>395</v>
      </c>
      <c r="AK128" t="s">
        <v>256</v>
      </c>
      <c r="AL128">
        <v>42796</v>
      </c>
      <c r="AM128" t="s">
        <v>1036</v>
      </c>
    </row>
    <row r="129" spans="6:39" x14ac:dyDescent="0.3">
      <c r="F129" t="s">
        <v>132</v>
      </c>
      <c r="G129" t="s">
        <v>135</v>
      </c>
      <c r="H129">
        <v>225</v>
      </c>
      <c r="I129">
        <v>3</v>
      </c>
      <c r="J129">
        <v>1</v>
      </c>
      <c r="K129">
        <v>0</v>
      </c>
      <c r="O129" s="13" t="s">
        <v>7</v>
      </c>
      <c r="P129" s="13" t="s">
        <v>56</v>
      </c>
      <c r="AH129" s="13" t="s">
        <v>572</v>
      </c>
      <c r="AI129" s="13"/>
      <c r="AJ129" t="s">
        <v>396</v>
      </c>
      <c r="AK129" t="s">
        <v>241</v>
      </c>
      <c r="AL129">
        <v>42895</v>
      </c>
      <c r="AM129" t="s">
        <v>1036</v>
      </c>
    </row>
    <row r="130" spans="6:39" x14ac:dyDescent="0.3">
      <c r="F130" t="s">
        <v>132</v>
      </c>
      <c r="G130" t="s">
        <v>136</v>
      </c>
      <c r="H130">
        <v>225</v>
      </c>
      <c r="I130">
        <v>3</v>
      </c>
      <c r="J130">
        <v>0</v>
      </c>
      <c r="K130">
        <v>0</v>
      </c>
      <c r="O130" s="13" t="s">
        <v>7</v>
      </c>
      <c r="P130" s="13" t="s">
        <v>59</v>
      </c>
      <c r="AH130" s="13" t="s">
        <v>864</v>
      </c>
      <c r="AI130" s="13"/>
      <c r="AJ130" t="s">
        <v>397</v>
      </c>
      <c r="AK130" t="s">
        <v>398</v>
      </c>
      <c r="AL130">
        <v>42750</v>
      </c>
      <c r="AM130" t="s">
        <v>1033</v>
      </c>
    </row>
    <row r="131" spans="6:39" x14ac:dyDescent="0.3">
      <c r="F131" t="s">
        <v>132</v>
      </c>
      <c r="G131" t="s">
        <v>137</v>
      </c>
      <c r="H131">
        <v>150</v>
      </c>
      <c r="I131">
        <v>2</v>
      </c>
      <c r="J131">
        <v>1</v>
      </c>
      <c r="K131">
        <v>0</v>
      </c>
      <c r="O131" s="13" t="s">
        <v>7</v>
      </c>
      <c r="P131" s="13" t="s">
        <v>58</v>
      </c>
      <c r="AH131" s="13" t="s">
        <v>921</v>
      </c>
      <c r="AI131" s="13"/>
      <c r="AJ131" t="s">
        <v>399</v>
      </c>
      <c r="AK131" t="s">
        <v>400</v>
      </c>
      <c r="AL131">
        <v>42735</v>
      </c>
      <c r="AM131" t="s">
        <v>1039</v>
      </c>
    </row>
    <row r="132" spans="6:39" x14ac:dyDescent="0.3">
      <c r="F132" t="s">
        <v>132</v>
      </c>
      <c r="G132" t="s">
        <v>138</v>
      </c>
      <c r="H132">
        <v>150</v>
      </c>
      <c r="I132">
        <v>2</v>
      </c>
      <c r="J132">
        <v>0</v>
      </c>
      <c r="K132">
        <v>0</v>
      </c>
      <c r="O132" s="13" t="s">
        <v>7</v>
      </c>
      <c r="P132" s="13" t="s">
        <v>53</v>
      </c>
      <c r="AH132" s="13" t="s">
        <v>1020</v>
      </c>
      <c r="AI132" s="13"/>
      <c r="AJ132" t="s">
        <v>401</v>
      </c>
      <c r="AK132" t="s">
        <v>256</v>
      </c>
      <c r="AL132">
        <v>42735</v>
      </c>
      <c r="AM132" t="s">
        <v>1039</v>
      </c>
    </row>
    <row r="133" spans="6:39" x14ac:dyDescent="0.3">
      <c r="F133" t="s">
        <v>111</v>
      </c>
      <c r="G133" t="s">
        <v>175</v>
      </c>
      <c r="H133">
        <v>292</v>
      </c>
      <c r="I133">
        <v>7</v>
      </c>
      <c r="J133">
        <v>0</v>
      </c>
      <c r="K133">
        <v>0</v>
      </c>
      <c r="O133" s="13" t="s">
        <v>7</v>
      </c>
      <c r="P133" s="13" t="s">
        <v>52</v>
      </c>
      <c r="AH133" s="13" t="s">
        <v>924</v>
      </c>
      <c r="AI133" s="13"/>
      <c r="AJ133" t="s">
        <v>402</v>
      </c>
      <c r="AK133" t="s">
        <v>403</v>
      </c>
      <c r="AL133">
        <v>42735</v>
      </c>
      <c r="AM133" t="s">
        <v>1035</v>
      </c>
    </row>
    <row r="134" spans="6:39" x14ac:dyDescent="0.3">
      <c r="F134" t="s">
        <v>111</v>
      </c>
      <c r="G134" t="s">
        <v>158</v>
      </c>
      <c r="H134">
        <v>250</v>
      </c>
      <c r="I134">
        <v>5</v>
      </c>
      <c r="J134">
        <v>1</v>
      </c>
      <c r="K134">
        <v>0</v>
      </c>
      <c r="O134" s="13" t="s">
        <v>7</v>
      </c>
      <c r="P134" s="13" t="s">
        <v>55</v>
      </c>
      <c r="AH134" s="13" t="s">
        <v>821</v>
      </c>
      <c r="AI134" s="13"/>
      <c r="AJ134" t="s">
        <v>404</v>
      </c>
      <c r="AK134" t="s">
        <v>405</v>
      </c>
      <c r="AL134">
        <v>42735</v>
      </c>
      <c r="AM134" t="s">
        <v>1033</v>
      </c>
    </row>
    <row r="135" spans="6:39" x14ac:dyDescent="0.3">
      <c r="F135" t="s">
        <v>111</v>
      </c>
      <c r="G135" t="s">
        <v>159</v>
      </c>
      <c r="H135">
        <v>250</v>
      </c>
      <c r="I135">
        <v>4</v>
      </c>
      <c r="J135">
        <v>2</v>
      </c>
      <c r="K135">
        <v>0</v>
      </c>
      <c r="O135" s="13" t="s">
        <v>7</v>
      </c>
      <c r="P135" s="13" t="s">
        <v>54</v>
      </c>
      <c r="AH135" s="13" t="s">
        <v>684</v>
      </c>
      <c r="AI135" s="13"/>
      <c r="AJ135" t="s">
        <v>406</v>
      </c>
      <c r="AK135" t="s">
        <v>407</v>
      </c>
      <c r="AL135">
        <v>43736</v>
      </c>
      <c r="AM135" t="s">
        <v>1033</v>
      </c>
    </row>
    <row r="136" spans="6:39" x14ac:dyDescent="0.3">
      <c r="AH136" s="13" t="s">
        <v>788</v>
      </c>
      <c r="AI136" s="13"/>
      <c r="AJ136" t="s">
        <v>408</v>
      </c>
      <c r="AK136" t="s">
        <v>256</v>
      </c>
      <c r="AL136">
        <v>42733</v>
      </c>
      <c r="AM136" t="s">
        <v>1039</v>
      </c>
    </row>
    <row r="137" spans="6:39" x14ac:dyDescent="0.3">
      <c r="AH137" s="13" t="s">
        <v>1009</v>
      </c>
      <c r="AI137" s="13"/>
      <c r="AJ137" t="s">
        <v>409</v>
      </c>
      <c r="AK137" t="s">
        <v>347</v>
      </c>
      <c r="AL137">
        <v>42734</v>
      </c>
      <c r="AM137" t="s">
        <v>1035</v>
      </c>
    </row>
    <row r="138" spans="6:39" x14ac:dyDescent="0.3">
      <c r="AH138" s="13" t="s">
        <v>714</v>
      </c>
      <c r="AI138" s="13"/>
      <c r="AJ138" t="s">
        <v>410</v>
      </c>
      <c r="AK138" t="s">
        <v>256</v>
      </c>
      <c r="AL138">
        <v>42734</v>
      </c>
      <c r="AM138" t="s">
        <v>1039</v>
      </c>
    </row>
    <row r="139" spans="6:39" x14ac:dyDescent="0.3">
      <c r="AH139" s="13" t="s">
        <v>433</v>
      </c>
      <c r="AI139" s="13"/>
      <c r="AJ139" t="s">
        <v>411</v>
      </c>
      <c r="AK139" t="s">
        <v>238</v>
      </c>
      <c r="AL139">
        <v>43695</v>
      </c>
      <c r="AM139" t="s">
        <v>1034</v>
      </c>
    </row>
    <row r="140" spans="6:39" x14ac:dyDescent="0.3">
      <c r="AH140" s="13" t="s">
        <v>246</v>
      </c>
      <c r="AI140" s="13"/>
      <c r="AJ140" t="s">
        <v>412</v>
      </c>
      <c r="AK140" t="s">
        <v>413</v>
      </c>
      <c r="AL140">
        <v>42733</v>
      </c>
      <c r="AM140" t="s">
        <v>1040</v>
      </c>
    </row>
    <row r="141" spans="6:39" x14ac:dyDescent="0.3">
      <c r="AH141" s="13" t="s">
        <v>711</v>
      </c>
      <c r="AI141" s="13"/>
      <c r="AJ141" t="s">
        <v>414</v>
      </c>
      <c r="AK141" t="s">
        <v>415</v>
      </c>
      <c r="AL141">
        <v>43456</v>
      </c>
      <c r="AM141" t="s">
        <v>1036</v>
      </c>
    </row>
    <row r="142" spans="6:39" x14ac:dyDescent="0.3">
      <c r="AH142" s="13" t="s">
        <v>791</v>
      </c>
      <c r="AI142" s="13"/>
      <c r="AJ142" t="s">
        <v>416</v>
      </c>
      <c r="AK142" t="s">
        <v>241</v>
      </c>
      <c r="AL142">
        <v>43455</v>
      </c>
      <c r="AM142" t="s">
        <v>1036</v>
      </c>
    </row>
    <row r="143" spans="6:39" x14ac:dyDescent="0.3">
      <c r="AH143" s="13" t="s">
        <v>857</v>
      </c>
      <c r="AI143" s="13"/>
      <c r="AJ143" t="s">
        <v>417</v>
      </c>
      <c r="AK143" t="s">
        <v>256</v>
      </c>
      <c r="AL143">
        <v>42733</v>
      </c>
      <c r="AM143" t="s">
        <v>1039</v>
      </c>
    </row>
    <row r="144" spans="6:39" x14ac:dyDescent="0.3">
      <c r="AH144" s="13" t="s">
        <v>880</v>
      </c>
      <c r="AI144" s="13"/>
      <c r="AJ144" t="s">
        <v>418</v>
      </c>
      <c r="AK144" t="s">
        <v>256</v>
      </c>
      <c r="AL144">
        <v>42735</v>
      </c>
      <c r="AM144" t="s">
        <v>1039</v>
      </c>
    </row>
    <row r="145" spans="34:39" x14ac:dyDescent="0.3">
      <c r="AH145" s="13" t="s">
        <v>863</v>
      </c>
      <c r="AI145" s="13"/>
      <c r="AJ145" t="s">
        <v>419</v>
      </c>
      <c r="AK145" t="s">
        <v>256</v>
      </c>
      <c r="AL145">
        <v>42727</v>
      </c>
      <c r="AM145" t="s">
        <v>1039</v>
      </c>
    </row>
    <row r="146" spans="34:39" x14ac:dyDescent="0.3">
      <c r="AH146" s="13" t="s">
        <v>725</v>
      </c>
      <c r="AI146" s="13"/>
      <c r="AJ146" t="s">
        <v>420</v>
      </c>
      <c r="AK146" t="s">
        <v>341</v>
      </c>
      <c r="AL146">
        <v>42711</v>
      </c>
      <c r="AM146" t="s">
        <v>1035</v>
      </c>
    </row>
    <row r="147" spans="34:39" x14ac:dyDescent="0.3">
      <c r="AH147" s="13" t="s">
        <v>778</v>
      </c>
      <c r="AI147" s="13"/>
      <c r="AJ147" t="s">
        <v>421</v>
      </c>
      <c r="AK147" t="s">
        <v>256</v>
      </c>
      <c r="AL147">
        <v>42720</v>
      </c>
      <c r="AM147" t="s">
        <v>1039</v>
      </c>
    </row>
    <row r="148" spans="34:39" x14ac:dyDescent="0.3">
      <c r="AH148" s="13" t="s">
        <v>438</v>
      </c>
      <c r="AI148" s="13"/>
      <c r="AJ148" t="s">
        <v>422</v>
      </c>
      <c r="AK148" t="s">
        <v>241</v>
      </c>
      <c r="AL148">
        <v>43009</v>
      </c>
      <c r="AM148" t="s">
        <v>1036</v>
      </c>
    </row>
    <row r="149" spans="34:39" x14ac:dyDescent="0.3">
      <c r="AH149" s="13" t="s">
        <v>317</v>
      </c>
      <c r="AI149" s="13"/>
      <c r="AJ149" t="s">
        <v>423</v>
      </c>
      <c r="AK149" t="s">
        <v>256</v>
      </c>
      <c r="AL149">
        <v>42714</v>
      </c>
      <c r="AM149" t="s">
        <v>1039</v>
      </c>
    </row>
    <row r="150" spans="34:39" x14ac:dyDescent="0.3">
      <c r="AH150" s="13" t="s">
        <v>260</v>
      </c>
      <c r="AI150" s="13"/>
      <c r="AJ150" t="s">
        <v>424</v>
      </c>
      <c r="AK150" t="s">
        <v>384</v>
      </c>
      <c r="AL150">
        <v>43048</v>
      </c>
      <c r="AM150" t="s">
        <v>1037</v>
      </c>
    </row>
    <row r="151" spans="34:39" x14ac:dyDescent="0.3">
      <c r="AH151" s="13" t="s">
        <v>909</v>
      </c>
      <c r="AI151" s="13"/>
      <c r="AJ151" t="s">
        <v>425</v>
      </c>
      <c r="AK151" t="s">
        <v>256</v>
      </c>
      <c r="AL151">
        <v>42727</v>
      </c>
      <c r="AM151" t="s">
        <v>1039</v>
      </c>
    </row>
    <row r="152" spans="34:39" x14ac:dyDescent="0.3">
      <c r="AH152" s="13" t="s">
        <v>708</v>
      </c>
      <c r="AI152" s="13"/>
      <c r="AJ152" t="s">
        <v>426</v>
      </c>
      <c r="AK152" t="s">
        <v>341</v>
      </c>
      <c r="AL152">
        <v>42719</v>
      </c>
      <c r="AM152" t="s">
        <v>1035</v>
      </c>
    </row>
    <row r="153" spans="34:39" x14ac:dyDescent="0.3">
      <c r="AH153" s="13" t="s">
        <v>575</v>
      </c>
      <c r="AI153" s="13"/>
      <c r="AJ153" t="s">
        <v>427</v>
      </c>
      <c r="AK153" t="s">
        <v>256</v>
      </c>
      <c r="AL153">
        <v>43197</v>
      </c>
      <c r="AM153" t="s">
        <v>1036</v>
      </c>
    </row>
    <row r="154" spans="34:39" x14ac:dyDescent="0.3">
      <c r="AH154" s="13" t="s">
        <v>526</v>
      </c>
      <c r="AI154" s="13"/>
      <c r="AJ154" t="s">
        <v>428</v>
      </c>
      <c r="AK154" t="s">
        <v>341</v>
      </c>
      <c r="AL154">
        <v>42827</v>
      </c>
      <c r="AM154" t="s">
        <v>1035</v>
      </c>
    </row>
    <row r="155" spans="34:39" x14ac:dyDescent="0.3">
      <c r="AH155" s="13" t="s">
        <v>654</v>
      </c>
      <c r="AI155" s="13"/>
      <c r="AJ155" t="s">
        <v>429</v>
      </c>
      <c r="AK155" t="s">
        <v>256</v>
      </c>
      <c r="AL155">
        <v>42707</v>
      </c>
      <c r="AM155" t="s">
        <v>1039</v>
      </c>
    </row>
    <row r="156" spans="34:39" x14ac:dyDescent="0.3">
      <c r="AH156" s="13" t="s">
        <v>855</v>
      </c>
      <c r="AI156" s="13"/>
      <c r="AJ156" t="s">
        <v>430</v>
      </c>
      <c r="AK156" t="s">
        <v>384</v>
      </c>
      <c r="AL156">
        <v>42704</v>
      </c>
      <c r="AM156" t="s">
        <v>1037</v>
      </c>
    </row>
    <row r="157" spans="34:39" x14ac:dyDescent="0.3">
      <c r="AH157" s="13" t="s">
        <v>318</v>
      </c>
      <c r="AI157" s="13"/>
      <c r="AJ157" t="s">
        <v>431</v>
      </c>
      <c r="AK157" t="s">
        <v>256</v>
      </c>
      <c r="AL157">
        <v>42697</v>
      </c>
      <c r="AM157" t="s">
        <v>1039</v>
      </c>
    </row>
    <row r="158" spans="34:39" x14ac:dyDescent="0.3">
      <c r="AH158" s="13" t="s">
        <v>836</v>
      </c>
      <c r="AI158" s="13"/>
      <c r="AJ158" t="s">
        <v>432</v>
      </c>
      <c r="AK158" t="s">
        <v>341</v>
      </c>
      <c r="AL158">
        <v>42691</v>
      </c>
      <c r="AM158" t="s">
        <v>1035</v>
      </c>
    </row>
    <row r="159" spans="34:39" x14ac:dyDescent="0.3">
      <c r="AH159" s="13" t="s">
        <v>373</v>
      </c>
      <c r="AI159" s="13"/>
      <c r="AJ159" t="s">
        <v>433</v>
      </c>
      <c r="AK159" t="s">
        <v>247</v>
      </c>
      <c r="AL159">
        <v>43141</v>
      </c>
      <c r="AM159" t="s">
        <v>1033</v>
      </c>
    </row>
    <row r="160" spans="34:39" x14ac:dyDescent="0.3">
      <c r="AH160" s="13" t="s">
        <v>1018</v>
      </c>
      <c r="AI160" s="13"/>
      <c r="AJ160" t="s">
        <v>434</v>
      </c>
      <c r="AK160" t="s">
        <v>435</v>
      </c>
      <c r="AL160">
        <v>42725</v>
      </c>
      <c r="AM160" t="s">
        <v>1039</v>
      </c>
    </row>
    <row r="161" spans="34:39" x14ac:dyDescent="0.3">
      <c r="AH161" s="13" t="s">
        <v>709</v>
      </c>
      <c r="AI161" s="13"/>
      <c r="AJ161" t="s">
        <v>436</v>
      </c>
      <c r="AK161" t="s">
        <v>437</v>
      </c>
      <c r="AL161">
        <v>42098</v>
      </c>
      <c r="AM161" t="s">
        <v>1033</v>
      </c>
    </row>
    <row r="162" spans="34:39" x14ac:dyDescent="0.3">
      <c r="AH162" s="13" t="s">
        <v>760</v>
      </c>
      <c r="AI162" s="13"/>
      <c r="AJ162" t="s">
        <v>438</v>
      </c>
      <c r="AK162" t="s">
        <v>261</v>
      </c>
      <c r="AL162">
        <v>43029</v>
      </c>
      <c r="AM162" t="s">
        <v>1033</v>
      </c>
    </row>
    <row r="163" spans="34:39" x14ac:dyDescent="0.3">
      <c r="AH163" s="13" t="s">
        <v>488</v>
      </c>
      <c r="AI163" s="13"/>
      <c r="AJ163" t="s">
        <v>439</v>
      </c>
      <c r="AK163" t="s">
        <v>341</v>
      </c>
      <c r="AL163">
        <v>41622</v>
      </c>
      <c r="AM163" t="s">
        <v>1041</v>
      </c>
    </row>
    <row r="164" spans="34:39" x14ac:dyDescent="0.3">
      <c r="AH164" s="13" t="s">
        <v>963</v>
      </c>
      <c r="AI164" s="13"/>
      <c r="AJ164" t="s">
        <v>440</v>
      </c>
      <c r="AK164" t="s">
        <v>256</v>
      </c>
      <c r="AL164">
        <v>43001</v>
      </c>
      <c r="AM164" t="s">
        <v>1036</v>
      </c>
    </row>
    <row r="165" spans="34:39" x14ac:dyDescent="0.3">
      <c r="AH165" s="13" t="s">
        <v>500</v>
      </c>
      <c r="AI165" s="13"/>
      <c r="AJ165" t="s">
        <v>441</v>
      </c>
      <c r="AK165" t="s">
        <v>363</v>
      </c>
      <c r="AL165">
        <v>42902</v>
      </c>
      <c r="AM165" t="s">
        <v>1037</v>
      </c>
    </row>
    <row r="166" spans="34:39" x14ac:dyDescent="0.3">
      <c r="AH166" s="13" t="s">
        <v>913</v>
      </c>
      <c r="AI166" s="13"/>
      <c r="AJ166" t="s">
        <v>442</v>
      </c>
      <c r="AK166" t="s">
        <v>443</v>
      </c>
      <c r="AL166">
        <v>42089</v>
      </c>
      <c r="AM166" t="s">
        <v>1037</v>
      </c>
    </row>
    <row r="167" spans="34:39" x14ac:dyDescent="0.3">
      <c r="AH167" s="13" t="s">
        <v>932</v>
      </c>
      <c r="AI167" s="13"/>
      <c r="AJ167" t="s">
        <v>444</v>
      </c>
      <c r="AK167" t="s">
        <v>256</v>
      </c>
      <c r="AL167">
        <v>42091</v>
      </c>
      <c r="AM167" t="s">
        <v>1042</v>
      </c>
    </row>
    <row r="168" spans="34:39" x14ac:dyDescent="0.3">
      <c r="AH168" s="13" t="s">
        <v>486</v>
      </c>
      <c r="AI168" s="13"/>
      <c r="AJ168" t="s">
        <v>445</v>
      </c>
      <c r="AK168" t="s">
        <v>446</v>
      </c>
      <c r="AL168">
        <v>42172</v>
      </c>
      <c r="AM168" t="s">
        <v>1033</v>
      </c>
    </row>
    <row r="169" spans="34:39" x14ac:dyDescent="0.3">
      <c r="AH169" s="13" t="s">
        <v>727</v>
      </c>
      <c r="AI169" s="13"/>
      <c r="AJ169" t="s">
        <v>447</v>
      </c>
      <c r="AK169" t="s">
        <v>241</v>
      </c>
      <c r="AL169">
        <v>43214</v>
      </c>
      <c r="AM169" t="s">
        <v>1036</v>
      </c>
    </row>
    <row r="170" spans="34:39" x14ac:dyDescent="0.3">
      <c r="AH170" s="13" t="s">
        <v>688</v>
      </c>
      <c r="AI170" s="13"/>
      <c r="AJ170" t="s">
        <v>448</v>
      </c>
      <c r="AK170" t="s">
        <v>256</v>
      </c>
      <c r="AL170">
        <v>42067</v>
      </c>
      <c r="AM170" t="s">
        <v>1042</v>
      </c>
    </row>
    <row r="171" spans="34:39" x14ac:dyDescent="0.3">
      <c r="AH171" s="13" t="s">
        <v>499</v>
      </c>
      <c r="AI171" s="13"/>
      <c r="AJ171" t="s">
        <v>449</v>
      </c>
      <c r="AK171" t="s">
        <v>256</v>
      </c>
      <c r="AL171">
        <v>43118</v>
      </c>
      <c r="AM171" t="s">
        <v>1036</v>
      </c>
    </row>
    <row r="172" spans="34:39" x14ac:dyDescent="0.3">
      <c r="AH172" s="13" t="s">
        <v>333</v>
      </c>
      <c r="AI172" s="13"/>
      <c r="AJ172" t="s">
        <v>450</v>
      </c>
      <c r="AK172" t="s">
        <v>451</v>
      </c>
      <c r="AL172">
        <v>42068</v>
      </c>
      <c r="AM172" t="s">
        <v>1033</v>
      </c>
    </row>
    <row r="173" spans="34:39" x14ac:dyDescent="0.3">
      <c r="AH173" s="13" t="s">
        <v>337</v>
      </c>
      <c r="AI173" s="13"/>
      <c r="AJ173" t="s">
        <v>452</v>
      </c>
      <c r="AK173" t="s">
        <v>270</v>
      </c>
      <c r="AL173">
        <v>43454</v>
      </c>
      <c r="AM173" t="s">
        <v>1036</v>
      </c>
    </row>
    <row r="174" spans="34:39" x14ac:dyDescent="0.3">
      <c r="AH174" s="13" t="s">
        <v>706</v>
      </c>
      <c r="AI174" s="13"/>
      <c r="AJ174" t="s">
        <v>453</v>
      </c>
      <c r="AK174" t="s">
        <v>256</v>
      </c>
      <c r="AL174">
        <v>42049</v>
      </c>
      <c r="AM174" t="s">
        <v>1042</v>
      </c>
    </row>
    <row r="175" spans="34:39" x14ac:dyDescent="0.3">
      <c r="AH175" s="13" t="s">
        <v>503</v>
      </c>
      <c r="AI175" s="13"/>
      <c r="AJ175" t="s">
        <v>454</v>
      </c>
      <c r="AK175" t="s">
        <v>341</v>
      </c>
      <c r="AL175">
        <v>42613</v>
      </c>
      <c r="AM175" t="s">
        <v>1035</v>
      </c>
    </row>
    <row r="176" spans="34:39" x14ac:dyDescent="0.3">
      <c r="AH176" s="13" t="s">
        <v>364</v>
      </c>
      <c r="AI176" s="13"/>
      <c r="AJ176" t="s">
        <v>455</v>
      </c>
      <c r="AK176" t="s">
        <v>256</v>
      </c>
      <c r="AL176">
        <v>42105</v>
      </c>
      <c r="AM176" t="s">
        <v>1042</v>
      </c>
    </row>
    <row r="177" spans="34:39" x14ac:dyDescent="0.3">
      <c r="AH177" s="13" t="s">
        <v>336</v>
      </c>
      <c r="AI177" s="13"/>
      <c r="AJ177" t="s">
        <v>456</v>
      </c>
      <c r="AK177" t="s">
        <v>256</v>
      </c>
      <c r="AL177">
        <v>42539</v>
      </c>
      <c r="AM177" t="s">
        <v>1039</v>
      </c>
    </row>
    <row r="178" spans="34:39" x14ac:dyDescent="0.3">
      <c r="AH178" s="13" t="s">
        <v>783</v>
      </c>
      <c r="AI178" s="13"/>
      <c r="AJ178" t="s">
        <v>457</v>
      </c>
      <c r="AK178" t="s">
        <v>341</v>
      </c>
      <c r="AL178">
        <v>42715</v>
      </c>
      <c r="AM178" t="s">
        <v>1035</v>
      </c>
    </row>
    <row r="179" spans="34:39" x14ac:dyDescent="0.3">
      <c r="AH179" s="13" t="s">
        <v>953</v>
      </c>
      <c r="AI179" s="13"/>
      <c r="AJ179" t="s">
        <v>458</v>
      </c>
      <c r="AK179" t="s">
        <v>310</v>
      </c>
      <c r="AL179">
        <v>42006</v>
      </c>
      <c r="AM179" t="s">
        <v>1033</v>
      </c>
    </row>
    <row r="180" spans="34:39" x14ac:dyDescent="0.3">
      <c r="AH180" s="13" t="s">
        <v>314</v>
      </c>
      <c r="AI180" s="13"/>
      <c r="AJ180" t="s">
        <v>459</v>
      </c>
      <c r="AK180" t="s">
        <v>310</v>
      </c>
      <c r="AL180">
        <v>42006</v>
      </c>
      <c r="AM180" t="s">
        <v>1033</v>
      </c>
    </row>
    <row r="181" spans="34:39" x14ac:dyDescent="0.3">
      <c r="AH181" s="13" t="s">
        <v>281</v>
      </c>
      <c r="AI181" s="13"/>
      <c r="AJ181" t="s">
        <v>460</v>
      </c>
      <c r="AK181" t="s">
        <v>256</v>
      </c>
      <c r="AL181">
        <v>42550</v>
      </c>
      <c r="AM181" t="s">
        <v>1039</v>
      </c>
    </row>
    <row r="182" spans="34:39" x14ac:dyDescent="0.3">
      <c r="AH182" s="13" t="s">
        <v>826</v>
      </c>
      <c r="AI182" s="13"/>
      <c r="AJ182" t="s">
        <v>461</v>
      </c>
      <c r="AK182" t="s">
        <v>256</v>
      </c>
      <c r="AL182">
        <v>42003</v>
      </c>
      <c r="AM182" t="s">
        <v>1042</v>
      </c>
    </row>
    <row r="183" spans="34:39" x14ac:dyDescent="0.3">
      <c r="AH183" s="13" t="s">
        <v>379</v>
      </c>
      <c r="AI183" s="13"/>
      <c r="AJ183" t="s">
        <v>462</v>
      </c>
      <c r="AK183" t="s">
        <v>256</v>
      </c>
      <c r="AL183">
        <v>42439</v>
      </c>
      <c r="AM183" t="s">
        <v>1039</v>
      </c>
    </row>
    <row r="184" spans="34:39" x14ac:dyDescent="0.3">
      <c r="AH184" s="13" t="s">
        <v>335</v>
      </c>
      <c r="AI184" s="13"/>
      <c r="AJ184" t="s">
        <v>463</v>
      </c>
      <c r="AK184" t="s">
        <v>256</v>
      </c>
      <c r="AL184">
        <v>42501</v>
      </c>
      <c r="AM184" t="s">
        <v>1039</v>
      </c>
    </row>
    <row r="185" spans="34:39" x14ac:dyDescent="0.3">
      <c r="AH185" s="13" t="s">
        <v>322</v>
      </c>
      <c r="AI185" s="13"/>
      <c r="AJ185" t="s">
        <v>464</v>
      </c>
      <c r="AK185" t="s">
        <v>256</v>
      </c>
      <c r="AL185">
        <v>42004</v>
      </c>
      <c r="AM185" t="s">
        <v>1042</v>
      </c>
    </row>
    <row r="186" spans="34:39" x14ac:dyDescent="0.3">
      <c r="AH186" s="13" t="s">
        <v>321</v>
      </c>
      <c r="AI186" s="13"/>
      <c r="AJ186" t="s">
        <v>465</v>
      </c>
      <c r="AK186" t="s">
        <v>466</v>
      </c>
      <c r="AL186">
        <v>42183</v>
      </c>
      <c r="AM186" t="s">
        <v>1037</v>
      </c>
    </row>
    <row r="187" spans="34:39" x14ac:dyDescent="0.3">
      <c r="AH187" s="13" t="s">
        <v>320</v>
      </c>
      <c r="AI187" s="13"/>
      <c r="AJ187" t="s">
        <v>467</v>
      </c>
      <c r="AK187" t="s">
        <v>256</v>
      </c>
      <c r="AL187">
        <v>42003</v>
      </c>
      <c r="AM187" t="s">
        <v>1037</v>
      </c>
    </row>
    <row r="188" spans="34:39" x14ac:dyDescent="0.3">
      <c r="AH188" s="13" t="s">
        <v>555</v>
      </c>
      <c r="AI188" s="13"/>
      <c r="AJ188" t="s">
        <v>468</v>
      </c>
      <c r="AK188" t="s">
        <v>256</v>
      </c>
      <c r="AL188">
        <v>42439</v>
      </c>
      <c r="AM188" t="s">
        <v>1039</v>
      </c>
    </row>
    <row r="189" spans="34:39" x14ac:dyDescent="0.3">
      <c r="AH189" s="13" t="s">
        <v>259</v>
      </c>
      <c r="AI189" s="13"/>
      <c r="AJ189" t="s">
        <v>469</v>
      </c>
      <c r="AK189" t="s">
        <v>341</v>
      </c>
      <c r="AL189">
        <v>42826</v>
      </c>
      <c r="AM189" t="s">
        <v>1035</v>
      </c>
    </row>
    <row r="190" spans="34:39" x14ac:dyDescent="0.3">
      <c r="AH190" s="13" t="s">
        <v>257</v>
      </c>
      <c r="AI190" s="13"/>
      <c r="AJ190" t="s">
        <v>470</v>
      </c>
      <c r="AK190" t="s">
        <v>256</v>
      </c>
      <c r="AL190">
        <v>42003</v>
      </c>
      <c r="AM190" t="s">
        <v>1042</v>
      </c>
    </row>
    <row r="191" spans="34:39" x14ac:dyDescent="0.3">
      <c r="AH191" s="13" t="s">
        <v>875</v>
      </c>
      <c r="AI191" s="13"/>
      <c r="AJ191" t="s">
        <v>471</v>
      </c>
      <c r="AK191" t="s">
        <v>256</v>
      </c>
      <c r="AL191">
        <v>42110</v>
      </c>
      <c r="AM191" t="s">
        <v>1042</v>
      </c>
    </row>
    <row r="192" spans="34:39" x14ac:dyDescent="0.3">
      <c r="AH192" s="13" t="s">
        <v>360</v>
      </c>
      <c r="AI192" s="13"/>
      <c r="AJ192" t="s">
        <v>472</v>
      </c>
      <c r="AK192" t="s">
        <v>446</v>
      </c>
      <c r="AL192">
        <v>41996</v>
      </c>
      <c r="AM192" t="s">
        <v>1033</v>
      </c>
    </row>
    <row r="193" spans="34:39" x14ac:dyDescent="0.3">
      <c r="AH193" s="13" t="s">
        <v>954</v>
      </c>
      <c r="AI193" s="13"/>
      <c r="AJ193" t="s">
        <v>473</v>
      </c>
      <c r="AK193" t="s">
        <v>241</v>
      </c>
      <c r="AL193">
        <v>43008</v>
      </c>
      <c r="AM193" t="s">
        <v>1036</v>
      </c>
    </row>
    <row r="194" spans="34:39" x14ac:dyDescent="0.3">
      <c r="AH194" s="13" t="s">
        <v>606</v>
      </c>
      <c r="AI194" s="13"/>
      <c r="AJ194" t="s">
        <v>474</v>
      </c>
      <c r="AK194" t="s">
        <v>341</v>
      </c>
      <c r="AL194">
        <v>42934</v>
      </c>
      <c r="AM194" t="s">
        <v>1035</v>
      </c>
    </row>
    <row r="195" spans="34:39" x14ac:dyDescent="0.3">
      <c r="AH195" s="13" t="s">
        <v>916</v>
      </c>
      <c r="AI195" s="13"/>
      <c r="AJ195" t="s">
        <v>475</v>
      </c>
      <c r="AK195" t="s">
        <v>341</v>
      </c>
      <c r="AL195">
        <v>42447</v>
      </c>
      <c r="AM195" t="s">
        <v>1035</v>
      </c>
    </row>
    <row r="196" spans="34:39" x14ac:dyDescent="0.3">
      <c r="AH196" s="13" t="s">
        <v>402</v>
      </c>
      <c r="AI196" s="13"/>
      <c r="AJ196" t="s">
        <v>476</v>
      </c>
      <c r="AK196" t="s">
        <v>341</v>
      </c>
      <c r="AL196">
        <v>41985</v>
      </c>
      <c r="AM196" t="s">
        <v>1042</v>
      </c>
    </row>
    <row r="197" spans="34:39" x14ac:dyDescent="0.3">
      <c r="AH197" s="13" t="s">
        <v>1011</v>
      </c>
      <c r="AI197" s="13"/>
      <c r="AJ197" t="s">
        <v>477</v>
      </c>
      <c r="AK197" t="s">
        <v>256</v>
      </c>
      <c r="AL197">
        <v>42818</v>
      </c>
      <c r="AM197" t="s">
        <v>1036</v>
      </c>
    </row>
    <row r="198" spans="34:39" x14ac:dyDescent="0.3">
      <c r="AH198" s="13" t="s">
        <v>993</v>
      </c>
      <c r="AI198" s="13"/>
      <c r="AJ198" t="s">
        <v>478</v>
      </c>
      <c r="AK198" t="s">
        <v>256</v>
      </c>
      <c r="AL198">
        <v>41958</v>
      </c>
      <c r="AM198" t="s">
        <v>1042</v>
      </c>
    </row>
    <row r="199" spans="34:39" x14ac:dyDescent="0.3">
      <c r="AH199" s="13" t="s">
        <v>799</v>
      </c>
      <c r="AI199" s="13"/>
      <c r="AJ199" t="s">
        <v>479</v>
      </c>
      <c r="AK199" t="s">
        <v>480</v>
      </c>
      <c r="AL199">
        <v>41234</v>
      </c>
      <c r="AM199" t="s">
        <v>1033</v>
      </c>
    </row>
    <row r="200" spans="34:39" x14ac:dyDescent="0.3">
      <c r="AH200" s="13" t="s">
        <v>891</v>
      </c>
      <c r="AI200" s="13"/>
      <c r="AJ200" t="s">
        <v>481</v>
      </c>
      <c r="AK200" t="s">
        <v>328</v>
      </c>
      <c r="AL200">
        <v>41948</v>
      </c>
      <c r="AM200" t="s">
        <v>1037</v>
      </c>
    </row>
    <row r="201" spans="34:39" x14ac:dyDescent="0.3">
      <c r="AH201" s="13" t="s">
        <v>608</v>
      </c>
      <c r="AI201" s="13"/>
      <c r="AJ201" t="s">
        <v>482</v>
      </c>
      <c r="AK201" t="s">
        <v>350</v>
      </c>
      <c r="AL201">
        <v>41380</v>
      </c>
      <c r="AM201" t="s">
        <v>1033</v>
      </c>
    </row>
    <row r="202" spans="34:39" x14ac:dyDescent="0.3">
      <c r="AH202" s="13" t="s">
        <v>850</v>
      </c>
      <c r="AI202" s="13"/>
      <c r="AJ202" t="s">
        <v>483</v>
      </c>
      <c r="AK202" t="s">
        <v>413</v>
      </c>
      <c r="AL202">
        <v>42090</v>
      </c>
      <c r="AM202" t="s">
        <v>1033</v>
      </c>
    </row>
    <row r="203" spans="34:39" x14ac:dyDescent="0.3">
      <c r="AH203" s="13" t="s">
        <v>734</v>
      </c>
      <c r="AI203" s="13"/>
      <c r="AJ203" t="s">
        <v>484</v>
      </c>
      <c r="AK203" t="s">
        <v>256</v>
      </c>
      <c r="AL203">
        <v>42185</v>
      </c>
      <c r="AM203" t="s">
        <v>1042</v>
      </c>
    </row>
    <row r="204" spans="34:39" x14ac:dyDescent="0.3">
      <c r="AH204" s="13" t="s">
        <v>977</v>
      </c>
      <c r="AI204" s="13"/>
      <c r="AJ204" t="s">
        <v>485</v>
      </c>
      <c r="AK204" t="s">
        <v>256</v>
      </c>
      <c r="AL204">
        <v>42589</v>
      </c>
      <c r="AM204" t="s">
        <v>1039</v>
      </c>
    </row>
    <row r="205" spans="34:39" x14ac:dyDescent="0.3">
      <c r="AH205" s="13" t="s">
        <v>302</v>
      </c>
      <c r="AI205" s="13"/>
      <c r="AJ205" t="s">
        <v>486</v>
      </c>
      <c r="AK205" t="s">
        <v>487</v>
      </c>
      <c r="AL205">
        <v>42089</v>
      </c>
      <c r="AM205" t="s">
        <v>1033</v>
      </c>
    </row>
    <row r="206" spans="34:39" x14ac:dyDescent="0.3">
      <c r="AH206" s="13" t="s">
        <v>436</v>
      </c>
      <c r="AI206" s="13"/>
      <c r="AJ206" t="s">
        <v>488</v>
      </c>
      <c r="AK206" t="s">
        <v>487</v>
      </c>
      <c r="AL206">
        <v>42089</v>
      </c>
      <c r="AM206" t="s">
        <v>1033</v>
      </c>
    </row>
    <row r="207" spans="34:39" x14ac:dyDescent="0.3">
      <c r="AH207" s="13" t="s">
        <v>233</v>
      </c>
      <c r="AI207" s="13"/>
      <c r="AJ207" t="s">
        <v>489</v>
      </c>
      <c r="AK207" t="s">
        <v>490</v>
      </c>
      <c r="AL207">
        <v>41177</v>
      </c>
      <c r="AM207" t="s">
        <v>1033</v>
      </c>
    </row>
    <row r="208" spans="34:39" x14ac:dyDescent="0.3">
      <c r="AH208" s="13" t="s">
        <v>462</v>
      </c>
      <c r="AI208" s="13"/>
      <c r="AJ208" t="s">
        <v>491</v>
      </c>
      <c r="AK208" t="s">
        <v>256</v>
      </c>
      <c r="AL208">
        <v>42325</v>
      </c>
      <c r="AM208" t="s">
        <v>1039</v>
      </c>
    </row>
    <row r="209" spans="34:39" x14ac:dyDescent="0.3">
      <c r="AH209" s="13" t="s">
        <v>645</v>
      </c>
      <c r="AI209" s="13"/>
      <c r="AJ209" t="s">
        <v>492</v>
      </c>
      <c r="AK209" t="s">
        <v>256</v>
      </c>
      <c r="AL209">
        <v>43210</v>
      </c>
      <c r="AM209" t="s">
        <v>1036</v>
      </c>
    </row>
    <row r="210" spans="34:39" x14ac:dyDescent="0.3">
      <c r="AH210" s="13" t="s">
        <v>431</v>
      </c>
      <c r="AI210" s="13"/>
      <c r="AJ210" t="s">
        <v>493</v>
      </c>
      <c r="AK210" t="s">
        <v>350</v>
      </c>
      <c r="AL210">
        <v>41180</v>
      </c>
      <c r="AM210" t="s">
        <v>1033</v>
      </c>
    </row>
    <row r="211" spans="34:39" x14ac:dyDescent="0.3">
      <c r="AH211" s="13" t="s">
        <v>823</v>
      </c>
      <c r="AI211" s="13"/>
      <c r="AJ211" t="s">
        <v>494</v>
      </c>
      <c r="AK211" t="s">
        <v>256</v>
      </c>
      <c r="AL211">
        <v>42826</v>
      </c>
      <c r="AM211" t="s">
        <v>1036</v>
      </c>
    </row>
    <row r="212" spans="34:39" x14ac:dyDescent="0.3">
      <c r="AH212" s="13" t="s">
        <v>955</v>
      </c>
      <c r="AI212" s="13"/>
      <c r="AJ212" t="s">
        <v>495</v>
      </c>
      <c r="AK212" t="s">
        <v>496</v>
      </c>
      <c r="AL212">
        <v>42679</v>
      </c>
      <c r="AM212" t="s">
        <v>1033</v>
      </c>
    </row>
    <row r="213" spans="34:39" x14ac:dyDescent="0.3">
      <c r="AH213" s="13" t="s">
        <v>967</v>
      </c>
      <c r="AI213" s="13"/>
      <c r="AJ213" t="s">
        <v>497</v>
      </c>
      <c r="AK213" t="s">
        <v>498</v>
      </c>
      <c r="AL213">
        <v>41870</v>
      </c>
      <c r="AM213" t="s">
        <v>1033</v>
      </c>
    </row>
    <row r="214" spans="34:39" x14ac:dyDescent="0.3">
      <c r="AH214" s="13" t="s">
        <v>923</v>
      </c>
      <c r="AI214" s="13"/>
      <c r="AJ214" t="s">
        <v>499</v>
      </c>
      <c r="AK214" t="s">
        <v>282</v>
      </c>
      <c r="AL214">
        <v>43085</v>
      </c>
      <c r="AM214" t="s">
        <v>1036</v>
      </c>
    </row>
    <row r="215" spans="34:39" x14ac:dyDescent="0.3">
      <c r="AH215" s="13" t="s">
        <v>991</v>
      </c>
      <c r="AI215" s="13"/>
      <c r="AJ215" t="s">
        <v>500</v>
      </c>
      <c r="AK215" t="s">
        <v>487</v>
      </c>
      <c r="AL215">
        <v>41547</v>
      </c>
      <c r="AM215" t="s">
        <v>1033</v>
      </c>
    </row>
    <row r="216" spans="34:39" x14ac:dyDescent="0.3">
      <c r="AH216" s="13" t="s">
        <v>767</v>
      </c>
      <c r="AI216" s="13"/>
      <c r="AJ216" t="s">
        <v>501</v>
      </c>
      <c r="AK216" t="s">
        <v>502</v>
      </c>
      <c r="AL216">
        <v>42073</v>
      </c>
      <c r="AM216" t="s">
        <v>1033</v>
      </c>
    </row>
    <row r="217" spans="34:39" x14ac:dyDescent="0.3">
      <c r="AH217" s="13" t="s">
        <v>958</v>
      </c>
      <c r="AI217" s="13"/>
      <c r="AJ217" t="s">
        <v>503</v>
      </c>
      <c r="AK217" t="s">
        <v>282</v>
      </c>
      <c r="AL217">
        <v>43502</v>
      </c>
      <c r="AM217" t="s">
        <v>1036</v>
      </c>
    </row>
    <row r="218" spans="34:39" x14ac:dyDescent="0.3">
      <c r="AH218" s="13" t="s">
        <v>764</v>
      </c>
      <c r="AI218" s="13"/>
      <c r="AJ218" t="s">
        <v>504</v>
      </c>
      <c r="AK218" t="s">
        <v>341</v>
      </c>
      <c r="AL218">
        <v>42551</v>
      </c>
      <c r="AM218" t="s">
        <v>1035</v>
      </c>
    </row>
    <row r="219" spans="34:39" x14ac:dyDescent="0.3">
      <c r="AH219" s="13" t="s">
        <v>522</v>
      </c>
      <c r="AI219" s="13"/>
      <c r="AJ219" t="s">
        <v>505</v>
      </c>
      <c r="AK219" t="s">
        <v>506</v>
      </c>
      <c r="AL219">
        <v>41234</v>
      </c>
      <c r="AM219" t="s">
        <v>1033</v>
      </c>
    </row>
    <row r="220" spans="34:39" x14ac:dyDescent="0.3">
      <c r="AH220" s="13" t="s">
        <v>849</v>
      </c>
      <c r="AI220" s="13"/>
      <c r="AJ220" t="s">
        <v>507</v>
      </c>
      <c r="AK220" t="s">
        <v>341</v>
      </c>
      <c r="AL220">
        <v>43013</v>
      </c>
      <c r="AM220" t="s">
        <v>1035</v>
      </c>
    </row>
    <row r="221" spans="34:39" x14ac:dyDescent="0.3">
      <c r="AH221" s="13" t="s">
        <v>359</v>
      </c>
      <c r="AI221" s="13"/>
      <c r="AJ221" t="s">
        <v>508</v>
      </c>
      <c r="AK221" t="s">
        <v>341</v>
      </c>
      <c r="AL221">
        <v>41624</v>
      </c>
      <c r="AM221" t="s">
        <v>1043</v>
      </c>
    </row>
    <row r="222" spans="34:39" x14ac:dyDescent="0.3">
      <c r="AH222" s="13" t="s">
        <v>558</v>
      </c>
      <c r="AI222" s="13"/>
      <c r="AJ222" t="s">
        <v>509</v>
      </c>
      <c r="AK222" t="s">
        <v>510</v>
      </c>
      <c r="AL222">
        <v>41089</v>
      </c>
      <c r="AM222" t="s">
        <v>1033</v>
      </c>
    </row>
    <row r="223" spans="34:39" x14ac:dyDescent="0.3">
      <c r="AH223" s="13" t="s">
        <v>425</v>
      </c>
      <c r="AI223" s="13"/>
      <c r="AJ223" t="s">
        <v>511</v>
      </c>
      <c r="AK223" t="s">
        <v>256</v>
      </c>
      <c r="AL223">
        <v>41934.25</v>
      </c>
      <c r="AM223" t="s">
        <v>1042</v>
      </c>
    </row>
    <row r="224" spans="34:39" x14ac:dyDescent="0.3">
      <c r="AH224" s="13" t="s">
        <v>980</v>
      </c>
      <c r="AI224" s="13"/>
      <c r="AJ224" t="s">
        <v>512</v>
      </c>
      <c r="AK224" t="s">
        <v>256</v>
      </c>
      <c r="AL224">
        <v>41990</v>
      </c>
      <c r="AM224" t="s">
        <v>1042</v>
      </c>
    </row>
    <row r="225" spans="34:39" x14ac:dyDescent="0.3">
      <c r="AH225" s="13" t="s">
        <v>986</v>
      </c>
      <c r="AI225" s="13"/>
      <c r="AJ225" t="s">
        <v>513</v>
      </c>
      <c r="AK225" t="s">
        <v>514</v>
      </c>
      <c r="AL225">
        <v>41408</v>
      </c>
      <c r="AM225" t="s">
        <v>1041</v>
      </c>
    </row>
    <row r="226" spans="34:39" x14ac:dyDescent="0.3">
      <c r="AH226" s="13" t="s">
        <v>962</v>
      </c>
      <c r="AI226" s="13"/>
      <c r="AJ226" t="s">
        <v>515</v>
      </c>
      <c r="AK226" t="s">
        <v>341</v>
      </c>
      <c r="AL226">
        <v>41818</v>
      </c>
      <c r="AM226" t="s">
        <v>1043</v>
      </c>
    </row>
    <row r="227" spans="34:39" x14ac:dyDescent="0.3">
      <c r="AH227" s="13" t="s">
        <v>981</v>
      </c>
      <c r="AI227" s="13"/>
      <c r="AJ227" t="s">
        <v>516</v>
      </c>
      <c r="AK227" t="s">
        <v>517</v>
      </c>
      <c r="AL227">
        <v>41807</v>
      </c>
      <c r="AM227" t="s">
        <v>1040</v>
      </c>
    </row>
    <row r="228" spans="34:39" x14ac:dyDescent="0.3">
      <c r="AH228" s="13" t="s">
        <v>627</v>
      </c>
      <c r="AI228" s="13"/>
      <c r="AJ228" t="s">
        <v>518</v>
      </c>
      <c r="AK228" t="s">
        <v>256</v>
      </c>
      <c r="AL228">
        <v>41803</v>
      </c>
      <c r="AM228" t="s">
        <v>1037</v>
      </c>
    </row>
    <row r="229" spans="34:39" x14ac:dyDescent="0.3">
      <c r="AH229" s="13" t="s">
        <v>395</v>
      </c>
      <c r="AI229" s="13"/>
      <c r="AJ229" t="s">
        <v>519</v>
      </c>
      <c r="AK229" t="s">
        <v>520</v>
      </c>
      <c r="AL229">
        <v>41813</v>
      </c>
      <c r="AM229" t="s">
        <v>1033</v>
      </c>
    </row>
    <row r="230" spans="34:39" x14ac:dyDescent="0.3">
      <c r="AH230" s="13" t="s">
        <v>843</v>
      </c>
      <c r="AI230" s="13"/>
      <c r="AJ230" t="s">
        <v>521</v>
      </c>
      <c r="AK230" t="s">
        <v>413</v>
      </c>
      <c r="AL230">
        <v>42892</v>
      </c>
      <c r="AM230" t="s">
        <v>1040</v>
      </c>
    </row>
    <row r="231" spans="34:39" x14ac:dyDescent="0.3">
      <c r="AH231" s="13" t="s">
        <v>956</v>
      </c>
      <c r="AI231" s="13"/>
      <c r="AJ231" t="s">
        <v>522</v>
      </c>
      <c r="AK231" t="s">
        <v>256</v>
      </c>
      <c r="AL231">
        <v>42735</v>
      </c>
      <c r="AM231" t="s">
        <v>1039</v>
      </c>
    </row>
    <row r="232" spans="34:39" x14ac:dyDescent="0.3">
      <c r="AH232" s="13" t="s">
        <v>968</v>
      </c>
      <c r="AI232" s="13"/>
      <c r="AJ232" t="s">
        <v>523</v>
      </c>
      <c r="AK232" t="s">
        <v>341</v>
      </c>
      <c r="AL232">
        <v>42653</v>
      </c>
      <c r="AM232" t="s">
        <v>1035</v>
      </c>
    </row>
    <row r="233" spans="34:39" x14ac:dyDescent="0.3">
      <c r="AH233" s="13" t="s">
        <v>746</v>
      </c>
      <c r="AI233" s="13"/>
      <c r="AJ233" t="s">
        <v>524</v>
      </c>
      <c r="AK233" t="s">
        <v>241</v>
      </c>
      <c r="AL233">
        <v>43646</v>
      </c>
      <c r="AM233" t="s">
        <v>1032</v>
      </c>
    </row>
    <row r="234" spans="34:39" x14ac:dyDescent="0.3">
      <c r="AH234" s="13" t="s">
        <v>898</v>
      </c>
      <c r="AI234" s="13"/>
      <c r="AJ234" t="s">
        <v>525</v>
      </c>
      <c r="AK234" t="s">
        <v>256</v>
      </c>
      <c r="AL234">
        <v>42083</v>
      </c>
      <c r="AM234" t="s">
        <v>1042</v>
      </c>
    </row>
    <row r="235" spans="34:39" x14ac:dyDescent="0.3">
      <c r="AH235" s="13" t="s">
        <v>721</v>
      </c>
      <c r="AI235" s="13"/>
      <c r="AJ235" t="s">
        <v>526</v>
      </c>
      <c r="AK235" t="s">
        <v>384</v>
      </c>
      <c r="AL235">
        <v>41801</v>
      </c>
      <c r="AM235" t="s">
        <v>1040</v>
      </c>
    </row>
    <row r="236" spans="34:39" x14ac:dyDescent="0.3">
      <c r="AH236" s="13" t="s">
        <v>1003</v>
      </c>
      <c r="AI236" s="13"/>
      <c r="AJ236" t="s">
        <v>527</v>
      </c>
      <c r="AK236" t="s">
        <v>528</v>
      </c>
      <c r="AL236">
        <v>41796</v>
      </c>
      <c r="AM236" t="s">
        <v>1037</v>
      </c>
    </row>
    <row r="237" spans="34:39" x14ac:dyDescent="0.3">
      <c r="AH237" s="13" t="s">
        <v>353</v>
      </c>
      <c r="AI237" s="13"/>
      <c r="AJ237" t="s">
        <v>529</v>
      </c>
      <c r="AK237" t="s">
        <v>514</v>
      </c>
      <c r="AL237">
        <v>42446</v>
      </c>
      <c r="AM237" t="s">
        <v>1039</v>
      </c>
    </row>
    <row r="238" spans="34:39" x14ac:dyDescent="0.3">
      <c r="AH238" s="13" t="s">
        <v>974</v>
      </c>
      <c r="AI238" s="13"/>
      <c r="AJ238" t="s">
        <v>530</v>
      </c>
      <c r="AK238" t="s">
        <v>256</v>
      </c>
      <c r="AL238">
        <v>42004</v>
      </c>
      <c r="AM238" t="s">
        <v>1042</v>
      </c>
    </row>
    <row r="239" spans="34:39" x14ac:dyDescent="0.3">
      <c r="AH239" s="13" t="s">
        <v>883</v>
      </c>
      <c r="AI239" s="13"/>
      <c r="AJ239" t="s">
        <v>531</v>
      </c>
      <c r="AK239" t="s">
        <v>514</v>
      </c>
      <c r="AL239">
        <v>40808</v>
      </c>
      <c r="AM239" t="s">
        <v>1044</v>
      </c>
    </row>
    <row r="240" spans="34:39" x14ac:dyDescent="0.3">
      <c r="AH240" s="13" t="s">
        <v>683</v>
      </c>
      <c r="AI240" s="13"/>
      <c r="AJ240" t="s">
        <v>532</v>
      </c>
      <c r="AK240" t="s">
        <v>533</v>
      </c>
      <c r="AL240">
        <v>40761</v>
      </c>
      <c r="AM240" t="s">
        <v>1033</v>
      </c>
    </row>
    <row r="241" spans="34:39" x14ac:dyDescent="0.3">
      <c r="AH241" s="13" t="s">
        <v>1004</v>
      </c>
      <c r="AI241" s="13"/>
      <c r="AJ241" t="s">
        <v>534</v>
      </c>
      <c r="AK241" t="s">
        <v>256</v>
      </c>
      <c r="AL241">
        <v>43298</v>
      </c>
      <c r="AM241" t="s">
        <v>1036</v>
      </c>
    </row>
    <row r="242" spans="34:39" x14ac:dyDescent="0.3">
      <c r="AH242" s="13" t="s">
        <v>812</v>
      </c>
      <c r="AI242" s="13"/>
      <c r="AJ242" t="s">
        <v>535</v>
      </c>
      <c r="AK242" t="s">
        <v>241</v>
      </c>
      <c r="AL242">
        <v>42735</v>
      </c>
      <c r="AM242" t="s">
        <v>1036</v>
      </c>
    </row>
    <row r="243" spans="34:39" x14ac:dyDescent="0.3">
      <c r="AH243" s="13" t="s">
        <v>934</v>
      </c>
      <c r="AI243" s="13"/>
      <c r="AJ243" t="s">
        <v>536</v>
      </c>
      <c r="AK243" t="s">
        <v>241</v>
      </c>
      <c r="AL243">
        <v>42606</v>
      </c>
      <c r="AM243" t="s">
        <v>1039</v>
      </c>
    </row>
    <row r="244" spans="34:39" x14ac:dyDescent="0.3">
      <c r="AH244" s="13" t="s">
        <v>890</v>
      </c>
      <c r="AI244" s="13"/>
      <c r="AJ244" t="s">
        <v>537</v>
      </c>
      <c r="AK244" t="s">
        <v>256</v>
      </c>
      <c r="AL244">
        <v>41796</v>
      </c>
      <c r="AM244" t="s">
        <v>1037</v>
      </c>
    </row>
    <row r="245" spans="34:39" x14ac:dyDescent="0.3">
      <c r="AH245" s="13" t="s">
        <v>988</v>
      </c>
      <c r="AI245" s="13"/>
      <c r="AJ245" t="s">
        <v>538</v>
      </c>
      <c r="AK245" t="s">
        <v>238</v>
      </c>
      <c r="AL245">
        <v>43644</v>
      </c>
      <c r="AM245" t="s">
        <v>1034</v>
      </c>
    </row>
    <row r="246" spans="34:39" x14ac:dyDescent="0.3">
      <c r="AH246" s="13" t="s">
        <v>468</v>
      </c>
      <c r="AI246" s="13"/>
      <c r="AJ246" t="s">
        <v>539</v>
      </c>
      <c r="AK246" t="s">
        <v>363</v>
      </c>
      <c r="AL246">
        <v>42887</v>
      </c>
      <c r="AM246" t="s">
        <v>1037</v>
      </c>
    </row>
    <row r="247" spans="34:39" x14ac:dyDescent="0.3">
      <c r="AH247" s="13" t="s">
        <v>834</v>
      </c>
      <c r="AI247" s="13"/>
      <c r="AJ247" t="s">
        <v>540</v>
      </c>
      <c r="AK247" t="s">
        <v>541</v>
      </c>
      <c r="AL247">
        <v>41128</v>
      </c>
      <c r="AM247" t="s">
        <v>1033</v>
      </c>
    </row>
    <row r="248" spans="34:39" x14ac:dyDescent="0.3">
      <c r="AH248" s="13" t="s">
        <v>491</v>
      </c>
      <c r="AI248" s="13"/>
      <c r="AJ248" t="s">
        <v>542</v>
      </c>
      <c r="AK248" t="s">
        <v>256</v>
      </c>
      <c r="AL248">
        <v>43239</v>
      </c>
      <c r="AM248" t="s">
        <v>1036</v>
      </c>
    </row>
    <row r="249" spans="34:39" x14ac:dyDescent="0.3">
      <c r="AH249" s="13" t="s">
        <v>846</v>
      </c>
      <c r="AI249" s="13"/>
      <c r="AJ249" t="s">
        <v>543</v>
      </c>
      <c r="AK249" t="s">
        <v>341</v>
      </c>
      <c r="AL249">
        <v>42678</v>
      </c>
      <c r="AM249" t="s">
        <v>1035</v>
      </c>
    </row>
    <row r="250" spans="34:39" x14ac:dyDescent="0.3">
      <c r="AH250" s="13" t="s">
        <v>847</v>
      </c>
      <c r="AI250" s="13"/>
      <c r="AJ250" t="s">
        <v>544</v>
      </c>
      <c r="AK250" t="s">
        <v>341</v>
      </c>
      <c r="AL250">
        <v>42432</v>
      </c>
      <c r="AM250" t="s">
        <v>1035</v>
      </c>
    </row>
    <row r="251" spans="34:39" x14ac:dyDescent="0.3">
      <c r="AH251" s="13" t="s">
        <v>886</v>
      </c>
      <c r="AI251" s="13"/>
      <c r="AJ251" t="s">
        <v>545</v>
      </c>
      <c r="AK251" t="s">
        <v>546</v>
      </c>
      <c r="AL251">
        <v>43372</v>
      </c>
      <c r="AM251" t="s">
        <v>1040</v>
      </c>
    </row>
    <row r="252" spans="34:39" x14ac:dyDescent="0.3">
      <c r="AH252" s="13" t="s">
        <v>894</v>
      </c>
      <c r="AI252" s="13"/>
      <c r="AJ252" t="s">
        <v>547</v>
      </c>
      <c r="AK252" t="s">
        <v>341</v>
      </c>
      <c r="AL252">
        <v>42826</v>
      </c>
      <c r="AM252" t="s">
        <v>1035</v>
      </c>
    </row>
    <row r="253" spans="34:39" x14ac:dyDescent="0.3">
      <c r="AH253" s="13" t="s">
        <v>594</v>
      </c>
      <c r="AI253" s="13"/>
      <c r="AJ253" t="s">
        <v>548</v>
      </c>
      <c r="AK253" t="s">
        <v>549</v>
      </c>
      <c r="AL253">
        <v>41770</v>
      </c>
      <c r="AM253" t="s">
        <v>1033</v>
      </c>
    </row>
    <row r="254" spans="34:39" x14ac:dyDescent="0.3">
      <c r="AH254" s="13" t="s">
        <v>868</v>
      </c>
      <c r="AI254" s="13"/>
      <c r="AJ254" t="s">
        <v>550</v>
      </c>
      <c r="AK254" t="s">
        <v>256</v>
      </c>
      <c r="AL254">
        <v>41945</v>
      </c>
      <c r="AM254" t="s">
        <v>1042</v>
      </c>
    </row>
    <row r="255" spans="34:39" x14ac:dyDescent="0.3">
      <c r="AH255" s="13" t="s">
        <v>882</v>
      </c>
      <c r="AI255" s="13"/>
      <c r="AJ255" t="s">
        <v>551</v>
      </c>
      <c r="AK255" t="s">
        <v>514</v>
      </c>
      <c r="AL255">
        <v>41442</v>
      </c>
      <c r="AM255" t="s">
        <v>1041</v>
      </c>
    </row>
    <row r="256" spans="34:39" x14ac:dyDescent="0.3">
      <c r="AH256" s="13" t="s">
        <v>649</v>
      </c>
      <c r="AI256" s="13"/>
      <c r="AJ256" t="s">
        <v>552</v>
      </c>
      <c r="AK256" t="s">
        <v>514</v>
      </c>
      <c r="AL256">
        <v>41536</v>
      </c>
      <c r="AM256" t="s">
        <v>1041</v>
      </c>
    </row>
    <row r="257" spans="34:39" x14ac:dyDescent="0.3">
      <c r="AH257" s="13" t="s">
        <v>553</v>
      </c>
      <c r="AI257" s="13"/>
      <c r="AJ257" t="s">
        <v>553</v>
      </c>
      <c r="AK257" t="s">
        <v>256</v>
      </c>
      <c r="AL257">
        <v>42514</v>
      </c>
      <c r="AM257" t="s">
        <v>1039</v>
      </c>
    </row>
    <row r="258" spans="34:39" x14ac:dyDescent="0.3">
      <c r="AH258" s="13" t="s">
        <v>719</v>
      </c>
      <c r="AI258" s="13"/>
      <c r="AJ258" t="s">
        <v>554</v>
      </c>
      <c r="AK258" t="s">
        <v>256</v>
      </c>
      <c r="AL258">
        <v>42094</v>
      </c>
      <c r="AM258" t="s">
        <v>1042</v>
      </c>
    </row>
    <row r="259" spans="34:39" x14ac:dyDescent="0.3">
      <c r="AH259" s="13" t="s">
        <v>463</v>
      </c>
      <c r="AI259" s="13"/>
      <c r="AJ259" t="s">
        <v>555</v>
      </c>
      <c r="AK259" t="s">
        <v>282</v>
      </c>
      <c r="AL259">
        <v>43112</v>
      </c>
      <c r="AM259" t="s">
        <v>1036</v>
      </c>
    </row>
    <row r="260" spans="34:39" x14ac:dyDescent="0.3">
      <c r="AH260" s="13" t="s">
        <v>569</v>
      </c>
      <c r="AI260" s="13"/>
      <c r="AJ260" t="s">
        <v>556</v>
      </c>
      <c r="AK260" t="s">
        <v>557</v>
      </c>
      <c r="AL260">
        <v>41907</v>
      </c>
      <c r="AM260" t="s">
        <v>1037</v>
      </c>
    </row>
    <row r="261" spans="34:39" x14ac:dyDescent="0.3">
      <c r="AH261" s="13" t="s">
        <v>936</v>
      </c>
      <c r="AI261" s="13"/>
      <c r="AJ261" t="s">
        <v>558</v>
      </c>
      <c r="AK261" t="s">
        <v>256</v>
      </c>
      <c r="AL261">
        <v>42825</v>
      </c>
      <c r="AM261" t="s">
        <v>1036</v>
      </c>
    </row>
    <row r="262" spans="34:39" x14ac:dyDescent="0.3">
      <c r="AH262" s="13" t="s">
        <v>861</v>
      </c>
      <c r="AI262" s="13"/>
      <c r="AJ262" t="s">
        <v>559</v>
      </c>
      <c r="AK262" t="s">
        <v>241</v>
      </c>
      <c r="AL262">
        <v>42643</v>
      </c>
      <c r="AM262" t="s">
        <v>1039</v>
      </c>
    </row>
    <row r="263" spans="34:39" x14ac:dyDescent="0.3">
      <c r="AH263" s="13" t="s">
        <v>582</v>
      </c>
      <c r="AI263" s="13"/>
      <c r="AJ263" t="s">
        <v>560</v>
      </c>
      <c r="AK263" t="s">
        <v>443</v>
      </c>
      <c r="AL263">
        <v>40574</v>
      </c>
      <c r="AM263" t="s">
        <v>1044</v>
      </c>
    </row>
    <row r="264" spans="34:39" x14ac:dyDescent="0.3">
      <c r="AH264" s="13" t="s">
        <v>859</v>
      </c>
      <c r="AI264" s="13"/>
      <c r="AJ264" t="s">
        <v>561</v>
      </c>
      <c r="AK264" t="s">
        <v>256</v>
      </c>
      <c r="AL264">
        <v>42057</v>
      </c>
      <c r="AM264" t="s">
        <v>1042</v>
      </c>
    </row>
    <row r="265" spans="34:39" x14ac:dyDescent="0.3">
      <c r="AH265" s="13" t="s">
        <v>937</v>
      </c>
      <c r="AI265" s="13"/>
      <c r="AJ265" t="s">
        <v>562</v>
      </c>
      <c r="AK265" t="s">
        <v>563</v>
      </c>
      <c r="AL265">
        <v>41906</v>
      </c>
      <c r="AM265" t="s">
        <v>1033</v>
      </c>
    </row>
    <row r="266" spans="34:39" x14ac:dyDescent="0.3">
      <c r="AH266" s="13" t="s">
        <v>869</v>
      </c>
      <c r="AI266" s="13"/>
      <c r="AJ266" t="s">
        <v>564</v>
      </c>
      <c r="AK266" t="s">
        <v>514</v>
      </c>
      <c r="AL266">
        <v>41394</v>
      </c>
      <c r="AM266" t="s">
        <v>1041</v>
      </c>
    </row>
    <row r="267" spans="34:39" x14ac:dyDescent="0.3">
      <c r="AH267" s="13" t="s">
        <v>829</v>
      </c>
      <c r="AI267" s="13"/>
      <c r="AJ267" t="s">
        <v>565</v>
      </c>
      <c r="AK267" t="s">
        <v>256</v>
      </c>
      <c r="AL267">
        <v>42098</v>
      </c>
      <c r="AM267" t="s">
        <v>1042</v>
      </c>
    </row>
    <row r="268" spans="34:39" x14ac:dyDescent="0.3">
      <c r="AH268" s="13" t="s">
        <v>885</v>
      </c>
      <c r="AI268" s="13"/>
      <c r="AJ268" t="s">
        <v>566</v>
      </c>
      <c r="AK268" t="s">
        <v>567</v>
      </c>
      <c r="AL268">
        <v>42369</v>
      </c>
      <c r="AM268" t="s">
        <v>1033</v>
      </c>
    </row>
    <row r="269" spans="34:39" x14ac:dyDescent="0.3">
      <c r="AH269" s="13" t="s">
        <v>941</v>
      </c>
      <c r="AI269" s="13"/>
      <c r="AJ269" t="s">
        <v>568</v>
      </c>
      <c r="AK269" t="s">
        <v>256</v>
      </c>
      <c r="AL269">
        <v>41838</v>
      </c>
      <c r="AM269" t="s">
        <v>1037</v>
      </c>
    </row>
    <row r="270" spans="34:39" x14ac:dyDescent="0.3">
      <c r="AH270" s="13" t="s">
        <v>1021</v>
      </c>
      <c r="AI270" s="13"/>
      <c r="AJ270" t="s">
        <v>569</v>
      </c>
      <c r="AK270" t="s">
        <v>256</v>
      </c>
      <c r="AL270">
        <v>42484</v>
      </c>
      <c r="AM270" t="s">
        <v>1039</v>
      </c>
    </row>
    <row r="271" spans="34:39" x14ac:dyDescent="0.3">
      <c r="AH271" s="13" t="s">
        <v>1002</v>
      </c>
      <c r="AI271" s="13"/>
      <c r="AJ271" t="s">
        <v>570</v>
      </c>
      <c r="AK271" t="s">
        <v>514</v>
      </c>
      <c r="AL271">
        <v>41340</v>
      </c>
      <c r="AM271" t="s">
        <v>1041</v>
      </c>
    </row>
    <row r="272" spans="34:39" x14ac:dyDescent="0.3">
      <c r="AH272" s="13" t="s">
        <v>971</v>
      </c>
      <c r="AI272" s="13"/>
      <c r="AJ272" t="s">
        <v>571</v>
      </c>
      <c r="AK272" t="s">
        <v>241</v>
      </c>
      <c r="AL272">
        <v>42913</v>
      </c>
      <c r="AM272" t="s">
        <v>1036</v>
      </c>
    </row>
    <row r="273" spans="34:39" x14ac:dyDescent="0.3">
      <c r="AH273" s="13" t="s">
        <v>456</v>
      </c>
      <c r="AI273" s="13"/>
      <c r="AJ273" t="s">
        <v>572</v>
      </c>
      <c r="AK273" t="s">
        <v>238</v>
      </c>
      <c r="AL273">
        <v>41078</v>
      </c>
      <c r="AM273" t="s">
        <v>1045</v>
      </c>
    </row>
    <row r="274" spans="34:39" x14ac:dyDescent="0.3">
      <c r="AH274" s="13" t="s">
        <v>1016</v>
      </c>
      <c r="AI274" s="13"/>
      <c r="AJ274" t="s">
        <v>573</v>
      </c>
      <c r="AK274" t="s">
        <v>341</v>
      </c>
      <c r="AL274">
        <v>41453</v>
      </c>
      <c r="AM274" t="s">
        <v>1041</v>
      </c>
    </row>
    <row r="275" spans="34:39" x14ac:dyDescent="0.3">
      <c r="AH275" s="13" t="s">
        <v>918</v>
      </c>
      <c r="AI275" s="13"/>
      <c r="AJ275" t="s">
        <v>574</v>
      </c>
      <c r="AK275" t="s">
        <v>510</v>
      </c>
      <c r="AL275">
        <v>42913</v>
      </c>
      <c r="AM275" t="s">
        <v>1033</v>
      </c>
    </row>
    <row r="276" spans="34:39" x14ac:dyDescent="0.3">
      <c r="AH276" s="13" t="s">
        <v>358</v>
      </c>
      <c r="AI276" s="13"/>
      <c r="AJ276" t="s">
        <v>575</v>
      </c>
      <c r="AK276" t="s">
        <v>576</v>
      </c>
      <c r="AL276">
        <v>40335</v>
      </c>
      <c r="AM276" t="s">
        <v>1033</v>
      </c>
    </row>
    <row r="277" spans="34:39" x14ac:dyDescent="0.3">
      <c r="AH277" s="13" t="s">
        <v>1024</v>
      </c>
      <c r="AI277" s="13"/>
      <c r="AJ277" t="s">
        <v>577</v>
      </c>
      <c r="AK277" t="s">
        <v>256</v>
      </c>
      <c r="AL277">
        <v>43329</v>
      </c>
      <c r="AM277" t="s">
        <v>1036</v>
      </c>
    </row>
    <row r="278" spans="34:39" x14ac:dyDescent="0.3">
      <c r="AH278" s="13" t="s">
        <v>418</v>
      </c>
      <c r="AI278" s="13"/>
      <c r="AJ278" t="s">
        <v>578</v>
      </c>
      <c r="AK278" t="s">
        <v>514</v>
      </c>
      <c r="AL278">
        <v>42185</v>
      </c>
      <c r="AM278" t="s">
        <v>1039</v>
      </c>
    </row>
    <row r="279" spans="34:39" x14ac:dyDescent="0.3">
      <c r="AH279" s="13" t="s">
        <v>423</v>
      </c>
      <c r="AI279" s="13"/>
      <c r="AJ279" t="s">
        <v>579</v>
      </c>
      <c r="AK279" t="s">
        <v>341</v>
      </c>
      <c r="AL279">
        <v>42813</v>
      </c>
      <c r="AM279" t="s">
        <v>1035</v>
      </c>
    </row>
    <row r="280" spans="34:39" x14ac:dyDescent="0.3">
      <c r="AH280" s="13" t="s">
        <v>630</v>
      </c>
      <c r="AI280" s="13"/>
      <c r="AJ280" t="s">
        <v>580</v>
      </c>
      <c r="AK280" t="s">
        <v>256</v>
      </c>
      <c r="AL280">
        <v>42706</v>
      </c>
      <c r="AM280" t="s">
        <v>1039</v>
      </c>
    </row>
    <row r="281" spans="34:39" x14ac:dyDescent="0.3">
      <c r="AH281" s="13" t="s">
        <v>387</v>
      </c>
      <c r="AI281" s="13"/>
      <c r="AJ281" t="s">
        <v>581</v>
      </c>
      <c r="AK281" t="s">
        <v>341</v>
      </c>
      <c r="AL281">
        <v>41706</v>
      </c>
      <c r="AM281" t="s">
        <v>1043</v>
      </c>
    </row>
    <row r="282" spans="34:39" x14ac:dyDescent="0.3">
      <c r="AH282" s="13" t="s">
        <v>419</v>
      </c>
      <c r="AI282" s="13"/>
      <c r="AJ282" t="s">
        <v>582</v>
      </c>
      <c r="AK282" t="s">
        <v>256</v>
      </c>
      <c r="AL282">
        <v>42503</v>
      </c>
      <c r="AM282" t="s">
        <v>1039</v>
      </c>
    </row>
    <row r="283" spans="34:39" x14ac:dyDescent="0.3">
      <c r="AH283" s="13" t="s">
        <v>996</v>
      </c>
      <c r="AI283" s="13"/>
      <c r="AJ283" t="s">
        <v>583</v>
      </c>
      <c r="AK283" t="s">
        <v>584</v>
      </c>
      <c r="AL283">
        <v>41824</v>
      </c>
      <c r="AM283" t="s">
        <v>1037</v>
      </c>
    </row>
    <row r="284" spans="34:39" x14ac:dyDescent="0.3">
      <c r="AH284" s="13" t="s">
        <v>580</v>
      </c>
      <c r="AI284" s="13"/>
      <c r="AJ284" t="s">
        <v>585</v>
      </c>
      <c r="AK284" t="s">
        <v>586</v>
      </c>
      <c r="AL284">
        <v>42910</v>
      </c>
      <c r="AM284" t="s">
        <v>1033</v>
      </c>
    </row>
    <row r="285" spans="34:39" x14ac:dyDescent="0.3">
      <c r="AH285" s="13" t="s">
        <v>460</v>
      </c>
      <c r="AI285" s="13"/>
      <c r="AJ285" t="s">
        <v>587</v>
      </c>
      <c r="AK285" t="s">
        <v>588</v>
      </c>
      <c r="AL285">
        <v>41638</v>
      </c>
      <c r="AM285" t="s">
        <v>1033</v>
      </c>
    </row>
    <row r="286" spans="34:39" x14ac:dyDescent="0.3">
      <c r="AH286" s="13" t="s">
        <v>429</v>
      </c>
      <c r="AI286" s="13"/>
      <c r="AJ286" t="s">
        <v>589</v>
      </c>
      <c r="AK286" t="s">
        <v>256</v>
      </c>
      <c r="AL286">
        <v>42354</v>
      </c>
      <c r="AM286" t="s">
        <v>1042</v>
      </c>
    </row>
    <row r="287" spans="34:39" x14ac:dyDescent="0.3">
      <c r="AH287" s="13" t="s">
        <v>494</v>
      </c>
      <c r="AI287" s="13"/>
      <c r="AJ287" t="s">
        <v>590</v>
      </c>
      <c r="AK287" t="s">
        <v>514</v>
      </c>
      <c r="AL287">
        <v>40815</v>
      </c>
      <c r="AM287" t="s">
        <v>1044</v>
      </c>
    </row>
    <row r="288" spans="34:39" x14ac:dyDescent="0.3">
      <c r="AH288" s="13" t="s">
        <v>931</v>
      </c>
      <c r="AI288" s="13"/>
      <c r="AJ288" t="s">
        <v>591</v>
      </c>
      <c r="AK288" t="s">
        <v>341</v>
      </c>
      <c r="AL288">
        <v>41593</v>
      </c>
      <c r="AM288" t="s">
        <v>1041</v>
      </c>
    </row>
    <row r="289" spans="34:39" x14ac:dyDescent="0.3">
      <c r="AH289" s="13" t="s">
        <v>421</v>
      </c>
      <c r="AI289" s="13"/>
      <c r="AJ289" t="s">
        <v>592</v>
      </c>
      <c r="AK289" t="s">
        <v>514</v>
      </c>
      <c r="AL289">
        <v>41362</v>
      </c>
      <c r="AM289" t="s">
        <v>1041</v>
      </c>
    </row>
    <row r="290" spans="34:39" x14ac:dyDescent="0.3">
      <c r="AH290" s="13" t="s">
        <v>638</v>
      </c>
      <c r="AI290" s="13"/>
      <c r="AJ290" t="s">
        <v>593</v>
      </c>
      <c r="AK290" t="s">
        <v>256</v>
      </c>
      <c r="AL290">
        <v>43273</v>
      </c>
      <c r="AM290" t="s">
        <v>1036</v>
      </c>
    </row>
    <row r="291" spans="34:39" x14ac:dyDescent="0.3">
      <c r="AH291" s="13" t="s">
        <v>949</v>
      </c>
      <c r="AI291" s="13"/>
      <c r="AJ291" t="s">
        <v>594</v>
      </c>
      <c r="AK291" t="s">
        <v>256</v>
      </c>
      <c r="AL291">
        <v>42460</v>
      </c>
      <c r="AM291" t="s">
        <v>1039</v>
      </c>
    </row>
    <row r="292" spans="34:39" x14ac:dyDescent="0.3">
      <c r="AH292" s="13" t="s">
        <v>410</v>
      </c>
      <c r="AI292" s="13"/>
      <c r="AJ292" t="s">
        <v>595</v>
      </c>
      <c r="AK292" t="s">
        <v>238</v>
      </c>
      <c r="AL292">
        <v>41564</v>
      </c>
      <c r="AM292" t="s">
        <v>1045</v>
      </c>
    </row>
    <row r="293" spans="34:39" x14ac:dyDescent="0.3">
      <c r="AH293" s="13" t="s">
        <v>417</v>
      </c>
      <c r="AI293" s="13"/>
      <c r="AJ293" t="s">
        <v>596</v>
      </c>
      <c r="AK293" t="s">
        <v>597</v>
      </c>
      <c r="AL293">
        <v>40816</v>
      </c>
      <c r="AM293" t="s">
        <v>1044</v>
      </c>
    </row>
    <row r="294" spans="34:39" x14ac:dyDescent="0.3">
      <c r="AH294" s="13" t="s">
        <v>408</v>
      </c>
      <c r="AI294" s="13"/>
      <c r="AJ294" t="s">
        <v>598</v>
      </c>
      <c r="AK294" t="s">
        <v>510</v>
      </c>
      <c r="AL294">
        <v>41478</v>
      </c>
      <c r="AM294" t="s">
        <v>1033</v>
      </c>
    </row>
    <row r="295" spans="34:39" x14ac:dyDescent="0.3">
      <c r="AH295" s="13" t="s">
        <v>477</v>
      </c>
      <c r="AI295" s="13"/>
      <c r="AJ295" t="s">
        <v>599</v>
      </c>
      <c r="AK295" t="s">
        <v>256</v>
      </c>
      <c r="AL295">
        <v>42080</v>
      </c>
      <c r="AM295" t="s">
        <v>1042</v>
      </c>
    </row>
    <row r="296" spans="34:39" x14ac:dyDescent="0.3">
      <c r="AH296" s="13" t="s">
        <v>492</v>
      </c>
      <c r="AI296" s="13"/>
      <c r="AJ296" t="s">
        <v>600</v>
      </c>
      <c r="AK296" t="s">
        <v>405</v>
      </c>
      <c r="AL296">
        <v>42173</v>
      </c>
      <c r="AM296" t="s">
        <v>1033</v>
      </c>
    </row>
    <row r="297" spans="34:39" x14ac:dyDescent="0.3">
      <c r="AH297" s="13" t="s">
        <v>818</v>
      </c>
      <c r="AI297" s="13"/>
      <c r="AJ297" t="s">
        <v>601</v>
      </c>
      <c r="AK297" t="s">
        <v>341</v>
      </c>
      <c r="AL297">
        <v>41454.390277777777</v>
      </c>
      <c r="AM297" t="s">
        <v>1041</v>
      </c>
    </row>
    <row r="298" spans="34:39" x14ac:dyDescent="0.3">
      <c r="AH298" s="13" t="s">
        <v>280</v>
      </c>
      <c r="AI298" s="13"/>
      <c r="AJ298" t="s">
        <v>602</v>
      </c>
      <c r="AK298" t="s">
        <v>603</v>
      </c>
      <c r="AL298">
        <v>43130</v>
      </c>
      <c r="AM298" t="s">
        <v>1036</v>
      </c>
    </row>
    <row r="299" spans="34:39" x14ac:dyDescent="0.3">
      <c r="AH299" s="13" t="s">
        <v>292</v>
      </c>
      <c r="AI299" s="13"/>
      <c r="AJ299" t="s">
        <v>604</v>
      </c>
      <c r="AK299" t="s">
        <v>256</v>
      </c>
      <c r="AL299">
        <v>42064</v>
      </c>
      <c r="AM299" t="s">
        <v>1042</v>
      </c>
    </row>
    <row r="300" spans="34:39" x14ac:dyDescent="0.3">
      <c r="AH300" s="13" t="s">
        <v>427</v>
      </c>
      <c r="AI300" s="13"/>
      <c r="AJ300" t="s">
        <v>605</v>
      </c>
      <c r="AK300" t="s">
        <v>256</v>
      </c>
      <c r="AL300">
        <v>42090</v>
      </c>
      <c r="AM300" t="s">
        <v>1042</v>
      </c>
    </row>
    <row r="301" spans="34:39" x14ac:dyDescent="0.3">
      <c r="AH301" s="13" t="s">
        <v>284</v>
      </c>
      <c r="AI301" s="13"/>
      <c r="AJ301" t="s">
        <v>606</v>
      </c>
      <c r="AK301" t="s">
        <v>361</v>
      </c>
      <c r="AL301">
        <v>41865</v>
      </c>
      <c r="AM301" t="s">
        <v>1043</v>
      </c>
    </row>
    <row r="302" spans="34:39" x14ac:dyDescent="0.3">
      <c r="AH302" s="13" t="s">
        <v>378</v>
      </c>
      <c r="AI302" s="13"/>
      <c r="AJ302" t="s">
        <v>607</v>
      </c>
      <c r="AK302" t="s">
        <v>514</v>
      </c>
      <c r="AL302">
        <v>42569</v>
      </c>
      <c r="AM302" t="s">
        <v>1039</v>
      </c>
    </row>
    <row r="303" spans="34:39" x14ac:dyDescent="0.3">
      <c r="AH303" s="13" t="s">
        <v>334</v>
      </c>
      <c r="AI303" s="13"/>
      <c r="AJ303" t="s">
        <v>608</v>
      </c>
      <c r="AK303" t="s">
        <v>609</v>
      </c>
      <c r="AL303">
        <v>42592</v>
      </c>
      <c r="AM303" t="s">
        <v>1039</v>
      </c>
    </row>
    <row r="304" spans="34:39" x14ac:dyDescent="0.3">
      <c r="AH304" s="13" t="s">
        <v>308</v>
      </c>
      <c r="AI304" s="13"/>
      <c r="AJ304" t="s">
        <v>610</v>
      </c>
      <c r="AK304" t="s">
        <v>510</v>
      </c>
      <c r="AL304">
        <v>42913</v>
      </c>
      <c r="AM304" t="s">
        <v>1033</v>
      </c>
    </row>
    <row r="305" spans="34:39" x14ac:dyDescent="0.3">
      <c r="AH305" s="13" t="s">
        <v>304</v>
      </c>
      <c r="AI305" s="13"/>
      <c r="AJ305" t="s">
        <v>611</v>
      </c>
      <c r="AK305" t="s">
        <v>384</v>
      </c>
      <c r="AL305">
        <v>42826</v>
      </c>
      <c r="AM305" t="s">
        <v>1037</v>
      </c>
    </row>
    <row r="306" spans="34:39" x14ac:dyDescent="0.3">
      <c r="AH306" s="13" t="s">
        <v>285</v>
      </c>
      <c r="AI306" s="13"/>
      <c r="AJ306" t="s">
        <v>612</v>
      </c>
      <c r="AK306" t="s">
        <v>613</v>
      </c>
      <c r="AL306">
        <v>40968</v>
      </c>
      <c r="AM306" t="s">
        <v>1033</v>
      </c>
    </row>
    <row r="307" spans="34:39" x14ac:dyDescent="0.3">
      <c r="AH307" s="13" t="s">
        <v>873</v>
      </c>
      <c r="AI307" s="13"/>
      <c r="AJ307" t="s">
        <v>614</v>
      </c>
      <c r="AK307" t="s">
        <v>341</v>
      </c>
      <c r="AL307">
        <v>40974</v>
      </c>
      <c r="AM307" t="s">
        <v>1044</v>
      </c>
    </row>
    <row r="308" spans="34:39" x14ac:dyDescent="0.3">
      <c r="AH308" s="13" t="s">
        <v>277</v>
      </c>
      <c r="AI308" s="13"/>
      <c r="AJ308" t="s">
        <v>615</v>
      </c>
      <c r="AK308" t="s">
        <v>256</v>
      </c>
      <c r="AL308">
        <v>42277</v>
      </c>
      <c r="AM308" t="s">
        <v>1042</v>
      </c>
    </row>
    <row r="309" spans="34:39" x14ac:dyDescent="0.3">
      <c r="AH309" s="13" t="s">
        <v>534</v>
      </c>
      <c r="AI309" s="13"/>
      <c r="AJ309" t="s">
        <v>616</v>
      </c>
      <c r="AK309" t="s">
        <v>617</v>
      </c>
      <c r="AL309">
        <v>41966</v>
      </c>
      <c r="AM309" t="s">
        <v>1037</v>
      </c>
    </row>
    <row r="310" spans="34:39" x14ac:dyDescent="0.3">
      <c r="AH310" s="13" t="s">
        <v>815</v>
      </c>
      <c r="AI310" s="13"/>
      <c r="AJ310" t="s">
        <v>618</v>
      </c>
      <c r="AK310" t="s">
        <v>256</v>
      </c>
      <c r="AL310">
        <v>42104</v>
      </c>
      <c r="AM310" t="s">
        <v>1042</v>
      </c>
    </row>
    <row r="311" spans="34:39" x14ac:dyDescent="0.3">
      <c r="AH311" s="13" t="s">
        <v>1007</v>
      </c>
      <c r="AI311" s="13"/>
      <c r="AJ311" t="s">
        <v>619</v>
      </c>
      <c r="AK311" t="s">
        <v>341</v>
      </c>
      <c r="AL311">
        <v>41466</v>
      </c>
      <c r="AM311" t="s">
        <v>1041</v>
      </c>
    </row>
    <row r="312" spans="34:39" x14ac:dyDescent="0.3">
      <c r="AH312" s="13" t="s">
        <v>271</v>
      </c>
      <c r="AI312" s="13"/>
      <c r="AJ312" t="s">
        <v>620</v>
      </c>
      <c r="AK312" t="s">
        <v>256</v>
      </c>
      <c r="AL312">
        <v>42140</v>
      </c>
      <c r="AM312" t="s">
        <v>1042</v>
      </c>
    </row>
    <row r="313" spans="34:39" x14ac:dyDescent="0.3">
      <c r="AH313" s="13" t="s">
        <v>577</v>
      </c>
      <c r="AI313" s="13"/>
      <c r="AJ313" t="s">
        <v>621</v>
      </c>
      <c r="AK313" t="s">
        <v>256</v>
      </c>
      <c r="AL313">
        <v>42182</v>
      </c>
      <c r="AM313" t="s">
        <v>1042</v>
      </c>
    </row>
    <row r="314" spans="34:39" x14ac:dyDescent="0.3">
      <c r="AH314" s="13" t="s">
        <v>283</v>
      </c>
      <c r="AI314" s="13"/>
      <c r="AJ314" t="s">
        <v>622</v>
      </c>
      <c r="AK314" t="s">
        <v>514</v>
      </c>
      <c r="AL314">
        <v>41814</v>
      </c>
      <c r="AM314" t="s">
        <v>1041</v>
      </c>
    </row>
    <row r="315" spans="34:39" x14ac:dyDescent="0.3">
      <c r="AH315" s="13" t="s">
        <v>704</v>
      </c>
      <c r="AI315" s="13"/>
      <c r="AJ315" t="s">
        <v>623</v>
      </c>
      <c r="AK315" t="s">
        <v>341</v>
      </c>
      <c r="AL315">
        <v>41512</v>
      </c>
      <c r="AM315" t="s">
        <v>1043</v>
      </c>
    </row>
    <row r="316" spans="34:39" x14ac:dyDescent="0.3">
      <c r="AH316" s="13" t="s">
        <v>593</v>
      </c>
      <c r="AI316" s="13"/>
      <c r="AJ316" t="s">
        <v>624</v>
      </c>
      <c r="AK316" t="s">
        <v>625</v>
      </c>
      <c r="AL316">
        <v>43557</v>
      </c>
      <c r="AM316" t="s">
        <v>1037</v>
      </c>
    </row>
    <row r="317" spans="34:39" x14ac:dyDescent="0.3">
      <c r="AH317" s="13" t="s">
        <v>942</v>
      </c>
      <c r="AI317" s="13"/>
      <c r="AJ317" t="s">
        <v>626</v>
      </c>
      <c r="AK317" t="s">
        <v>514</v>
      </c>
      <c r="AL317">
        <v>41305</v>
      </c>
      <c r="AM317" t="s">
        <v>1041</v>
      </c>
    </row>
    <row r="318" spans="34:39" x14ac:dyDescent="0.3">
      <c r="AH318" s="13" t="s">
        <v>272</v>
      </c>
      <c r="AI318" s="13"/>
      <c r="AJ318" t="s">
        <v>627</v>
      </c>
      <c r="AK318" t="s">
        <v>256</v>
      </c>
      <c r="AL318">
        <v>42725</v>
      </c>
      <c r="AM318" t="s">
        <v>1039</v>
      </c>
    </row>
    <row r="319" spans="34:39" x14ac:dyDescent="0.3">
      <c r="AH319" s="13" t="s">
        <v>897</v>
      </c>
      <c r="AI319" s="13"/>
      <c r="AJ319" t="s">
        <v>628</v>
      </c>
      <c r="AK319" t="s">
        <v>256</v>
      </c>
      <c r="AL319">
        <v>42216</v>
      </c>
      <c r="AM319" t="s">
        <v>1042</v>
      </c>
    </row>
    <row r="320" spans="34:39" x14ac:dyDescent="0.3">
      <c r="AH320" s="13" t="s">
        <v>747</v>
      </c>
      <c r="AI320" s="13"/>
      <c r="AJ320" t="s">
        <v>629</v>
      </c>
      <c r="AK320" t="s">
        <v>514</v>
      </c>
      <c r="AL320">
        <v>40575.599999999999</v>
      </c>
      <c r="AM320" t="s">
        <v>1044</v>
      </c>
    </row>
    <row r="321" spans="34:39" x14ac:dyDescent="0.3">
      <c r="AH321" s="13" t="s">
        <v>331</v>
      </c>
      <c r="AI321" s="13"/>
      <c r="AJ321" t="s">
        <v>630</v>
      </c>
      <c r="AK321" t="s">
        <v>256</v>
      </c>
      <c r="AL321">
        <v>42603</v>
      </c>
      <c r="AM321" t="s">
        <v>1039</v>
      </c>
    </row>
    <row r="322" spans="34:39" x14ac:dyDescent="0.3">
      <c r="AH322" s="13" t="s">
        <v>291</v>
      </c>
      <c r="AI322" s="13"/>
      <c r="AJ322" t="s">
        <v>631</v>
      </c>
      <c r="AK322" t="s">
        <v>241</v>
      </c>
      <c r="AL322">
        <v>42645</v>
      </c>
      <c r="AM322" t="s">
        <v>1039</v>
      </c>
    </row>
    <row r="323" spans="34:39" x14ac:dyDescent="0.3">
      <c r="AH323" s="13" t="s">
        <v>729</v>
      </c>
      <c r="AI323" s="13"/>
      <c r="AJ323" t="s">
        <v>632</v>
      </c>
      <c r="AK323" t="s">
        <v>350</v>
      </c>
      <c r="AL323">
        <v>40471.682638888888</v>
      </c>
      <c r="AM323" t="s">
        <v>1033</v>
      </c>
    </row>
    <row r="324" spans="34:39" x14ac:dyDescent="0.3">
      <c r="AH324" s="13" t="s">
        <v>542</v>
      </c>
      <c r="AI324" s="13"/>
      <c r="AJ324" t="s">
        <v>633</v>
      </c>
      <c r="AK324" t="s">
        <v>634</v>
      </c>
      <c r="AL324">
        <v>41137</v>
      </c>
      <c r="AM324" t="s">
        <v>1033</v>
      </c>
    </row>
    <row r="325" spans="34:39" x14ac:dyDescent="0.3">
      <c r="AH325" s="13" t="s">
        <v>255</v>
      </c>
      <c r="AI325" s="13"/>
      <c r="AJ325" t="s">
        <v>635</v>
      </c>
      <c r="AK325" t="s">
        <v>341</v>
      </c>
      <c r="AL325">
        <v>41394</v>
      </c>
      <c r="AM325" t="s">
        <v>1041</v>
      </c>
    </row>
    <row r="326" spans="34:39" x14ac:dyDescent="0.3">
      <c r="AH326" s="13" t="s">
        <v>449</v>
      </c>
      <c r="AI326" s="13"/>
      <c r="AJ326" t="s">
        <v>636</v>
      </c>
      <c r="AK326" t="s">
        <v>490</v>
      </c>
      <c r="AL326">
        <v>41172</v>
      </c>
      <c r="AM326" t="s">
        <v>1033</v>
      </c>
    </row>
    <row r="327" spans="34:39" x14ac:dyDescent="0.3">
      <c r="AH327" s="13" t="s">
        <v>326</v>
      </c>
      <c r="AI327" s="13"/>
      <c r="AJ327" t="s">
        <v>637</v>
      </c>
      <c r="AK327" t="s">
        <v>510</v>
      </c>
      <c r="AL327">
        <v>43083</v>
      </c>
      <c r="AM327" t="s">
        <v>1033</v>
      </c>
    </row>
    <row r="328" spans="34:39" x14ac:dyDescent="0.3">
      <c r="AH328" s="13" t="s">
        <v>316</v>
      </c>
      <c r="AI328" s="13"/>
      <c r="AJ328" t="s">
        <v>638</v>
      </c>
      <c r="AK328" t="s">
        <v>256</v>
      </c>
      <c r="AL328">
        <v>43005</v>
      </c>
      <c r="AM328" t="s">
        <v>1036</v>
      </c>
    </row>
    <row r="329" spans="34:39" x14ac:dyDescent="0.3">
      <c r="AH329" s="13" t="s">
        <v>867</v>
      </c>
      <c r="AI329" s="13"/>
      <c r="AJ329" t="s">
        <v>639</v>
      </c>
      <c r="AK329" t="s">
        <v>256</v>
      </c>
      <c r="AL329">
        <v>42081</v>
      </c>
      <c r="AM329" t="s">
        <v>1042</v>
      </c>
    </row>
    <row r="330" spans="34:39" x14ac:dyDescent="0.3">
      <c r="AH330" s="13" t="s">
        <v>394</v>
      </c>
      <c r="AI330" s="13"/>
      <c r="AJ330" t="s">
        <v>640</v>
      </c>
      <c r="AK330" t="s">
        <v>341</v>
      </c>
      <c r="AL330">
        <v>42680</v>
      </c>
      <c r="AM330" t="s">
        <v>1035</v>
      </c>
    </row>
    <row r="331" spans="34:39" x14ac:dyDescent="0.3">
      <c r="AH331" s="13" t="s">
        <v>472</v>
      </c>
      <c r="AI331" s="13"/>
      <c r="AJ331" t="s">
        <v>641</v>
      </c>
      <c r="AK331" t="s">
        <v>350</v>
      </c>
      <c r="AL331">
        <v>41380</v>
      </c>
      <c r="AM331" t="s">
        <v>1033</v>
      </c>
    </row>
    <row r="332" spans="34:39" x14ac:dyDescent="0.3">
      <c r="AH332" s="13" t="s">
        <v>445</v>
      </c>
      <c r="AI332" s="13"/>
      <c r="AJ332" t="s">
        <v>642</v>
      </c>
      <c r="AK332" t="s">
        <v>328</v>
      </c>
      <c r="AL332">
        <v>42728</v>
      </c>
      <c r="AM332" t="s">
        <v>1035</v>
      </c>
    </row>
    <row r="333" spans="34:39" x14ac:dyDescent="0.3">
      <c r="AH333" s="13" t="s">
        <v>602</v>
      </c>
      <c r="AI333" s="13"/>
      <c r="AJ333" t="s">
        <v>643</v>
      </c>
      <c r="AK333" t="s">
        <v>341</v>
      </c>
      <c r="AL333">
        <v>41535</v>
      </c>
      <c r="AM333" t="s">
        <v>1041</v>
      </c>
    </row>
    <row r="334" spans="34:39" x14ac:dyDescent="0.3">
      <c r="AH334" s="13" t="s">
        <v>666</v>
      </c>
      <c r="AI334" s="13"/>
      <c r="AJ334" t="s">
        <v>644</v>
      </c>
      <c r="AK334" t="s">
        <v>341</v>
      </c>
      <c r="AL334">
        <v>41380</v>
      </c>
      <c r="AM334" t="s">
        <v>1041</v>
      </c>
    </row>
    <row r="335" spans="34:39" x14ac:dyDescent="0.3">
      <c r="AH335" s="13" t="s">
        <v>467</v>
      </c>
      <c r="AI335" s="13"/>
      <c r="AJ335" t="s">
        <v>645</v>
      </c>
      <c r="AK335" t="s">
        <v>256</v>
      </c>
      <c r="AL335">
        <v>42675</v>
      </c>
      <c r="AM335" t="s">
        <v>1039</v>
      </c>
    </row>
    <row r="336" spans="34:39" x14ac:dyDescent="0.3">
      <c r="AH336" s="13" t="s">
        <v>906</v>
      </c>
      <c r="AI336" s="13"/>
      <c r="AJ336" t="s">
        <v>646</v>
      </c>
      <c r="AK336" t="s">
        <v>310</v>
      </c>
      <c r="AL336">
        <v>43088</v>
      </c>
      <c r="AM336" t="s">
        <v>1036</v>
      </c>
    </row>
    <row r="337" spans="34:39" x14ac:dyDescent="0.3">
      <c r="AH337" s="13" t="s">
        <v>693</v>
      </c>
      <c r="AI337" s="13"/>
      <c r="AJ337" t="s">
        <v>647</v>
      </c>
      <c r="AK337" t="s">
        <v>648</v>
      </c>
      <c r="AL337">
        <v>40906</v>
      </c>
      <c r="AM337" t="s">
        <v>1033</v>
      </c>
    </row>
    <row r="338" spans="34:39" x14ac:dyDescent="0.3">
      <c r="AH338" s="13" t="s">
        <v>518</v>
      </c>
      <c r="AI338" s="13"/>
      <c r="AJ338" t="s">
        <v>649</v>
      </c>
      <c r="AK338" t="s">
        <v>256</v>
      </c>
      <c r="AL338">
        <v>42349</v>
      </c>
      <c r="AM338" t="s">
        <v>1039</v>
      </c>
    </row>
    <row r="339" spans="34:39" x14ac:dyDescent="0.3">
      <c r="AH339" s="13" t="s">
        <v>537</v>
      </c>
      <c r="AI339" s="13"/>
      <c r="AJ339" t="s">
        <v>650</v>
      </c>
      <c r="AK339" t="s">
        <v>341</v>
      </c>
      <c r="AL339">
        <v>42079</v>
      </c>
      <c r="AM339" t="s">
        <v>1042</v>
      </c>
    </row>
    <row r="340" spans="34:39" x14ac:dyDescent="0.3">
      <c r="AH340" s="13" t="s">
        <v>742</v>
      </c>
      <c r="AI340" s="13"/>
      <c r="AJ340" t="s">
        <v>651</v>
      </c>
      <c r="AK340" t="s">
        <v>241</v>
      </c>
      <c r="AL340">
        <v>42645</v>
      </c>
      <c r="AM340" t="s">
        <v>1039</v>
      </c>
    </row>
    <row r="341" spans="34:39" x14ac:dyDescent="0.3">
      <c r="AH341" s="13" t="s">
        <v>568</v>
      </c>
      <c r="AI341" s="13"/>
      <c r="AJ341" t="s">
        <v>652</v>
      </c>
      <c r="AK341" t="s">
        <v>653</v>
      </c>
      <c r="AL341">
        <v>41789</v>
      </c>
      <c r="AM341" t="s">
        <v>1033</v>
      </c>
    </row>
    <row r="342" spans="34:39" x14ac:dyDescent="0.3">
      <c r="AH342" s="13" t="s">
        <v>969</v>
      </c>
      <c r="AI342" s="13"/>
      <c r="AJ342" t="s">
        <v>654</v>
      </c>
      <c r="AK342" t="s">
        <v>655</v>
      </c>
      <c r="AL342">
        <v>43266</v>
      </c>
      <c r="AM342" t="s">
        <v>1035</v>
      </c>
    </row>
    <row r="343" spans="34:39" x14ac:dyDescent="0.3">
      <c r="AH343" s="13" t="s">
        <v>748</v>
      </c>
      <c r="AI343" s="13"/>
      <c r="AJ343" t="s">
        <v>656</v>
      </c>
      <c r="AK343" t="s">
        <v>341</v>
      </c>
      <c r="AL343">
        <v>42277</v>
      </c>
      <c r="AM343" t="s">
        <v>1042</v>
      </c>
    </row>
    <row r="344" spans="34:39" x14ac:dyDescent="0.3">
      <c r="AH344" s="13" t="s">
        <v>828</v>
      </c>
      <c r="AI344" s="13"/>
      <c r="AJ344" t="s">
        <v>657</v>
      </c>
      <c r="AK344" t="s">
        <v>256</v>
      </c>
      <c r="AL344">
        <v>42274</v>
      </c>
      <c r="AM344" t="s">
        <v>1042</v>
      </c>
    </row>
    <row r="345" spans="34:39" x14ac:dyDescent="0.3">
      <c r="AH345" s="13" t="s">
        <v>762</v>
      </c>
      <c r="AI345" s="13"/>
      <c r="AJ345" t="s">
        <v>658</v>
      </c>
      <c r="AK345" t="s">
        <v>659</v>
      </c>
      <c r="AL345">
        <v>41853</v>
      </c>
      <c r="AM345" t="s">
        <v>1037</v>
      </c>
    </row>
    <row r="346" spans="34:39" x14ac:dyDescent="0.3">
      <c r="AH346" s="13" t="s">
        <v>703</v>
      </c>
      <c r="AI346" s="13"/>
      <c r="AJ346" t="s">
        <v>660</v>
      </c>
      <c r="AK346" t="s">
        <v>588</v>
      </c>
      <c r="AL346">
        <v>41638</v>
      </c>
      <c r="AM346" t="s">
        <v>1033</v>
      </c>
    </row>
    <row r="347" spans="34:39" x14ac:dyDescent="0.3">
      <c r="AH347" s="13" t="s">
        <v>440</v>
      </c>
      <c r="AI347" s="13"/>
      <c r="AJ347" t="s">
        <v>661</v>
      </c>
      <c r="AK347" t="s">
        <v>256</v>
      </c>
      <c r="AL347">
        <v>42055</v>
      </c>
      <c r="AM347" t="s">
        <v>1042</v>
      </c>
    </row>
    <row r="348" spans="34:39" x14ac:dyDescent="0.3">
      <c r="AH348" s="13" t="s">
        <v>401</v>
      </c>
      <c r="AI348" s="13"/>
      <c r="AJ348" t="s">
        <v>662</v>
      </c>
      <c r="AK348" t="s">
        <v>514</v>
      </c>
      <c r="AL348">
        <v>40564.667361111111</v>
      </c>
      <c r="AM348" t="s">
        <v>1044</v>
      </c>
    </row>
    <row r="349" spans="34:39" x14ac:dyDescent="0.3">
      <c r="AH349" s="13" t="s">
        <v>972</v>
      </c>
      <c r="AI349" s="13"/>
      <c r="AJ349" t="s">
        <v>663</v>
      </c>
      <c r="AK349" t="s">
        <v>466</v>
      </c>
      <c r="AL349">
        <v>41993</v>
      </c>
      <c r="AM349" t="s">
        <v>1037</v>
      </c>
    </row>
    <row r="350" spans="34:39" x14ac:dyDescent="0.3">
      <c r="AH350" s="13" t="s">
        <v>382</v>
      </c>
      <c r="AI350" s="13"/>
      <c r="AJ350" t="s">
        <v>664</v>
      </c>
      <c r="AK350" t="s">
        <v>665</v>
      </c>
      <c r="AL350">
        <v>40325</v>
      </c>
      <c r="AM350" t="s">
        <v>1033</v>
      </c>
    </row>
    <row r="351" spans="34:39" x14ac:dyDescent="0.3">
      <c r="AH351" s="13" t="s">
        <v>669</v>
      </c>
      <c r="AI351" s="13"/>
      <c r="AJ351" t="s">
        <v>666</v>
      </c>
      <c r="AK351" t="s">
        <v>667</v>
      </c>
      <c r="AL351">
        <v>41626</v>
      </c>
      <c r="AM351" t="s">
        <v>1033</v>
      </c>
    </row>
    <row r="352" spans="34:39" x14ac:dyDescent="0.3">
      <c r="AH352" s="13" t="s">
        <v>661</v>
      </c>
      <c r="AI352" s="13"/>
      <c r="AJ352" t="s">
        <v>668</v>
      </c>
      <c r="AK352" t="s">
        <v>341</v>
      </c>
      <c r="AL352">
        <v>41916</v>
      </c>
      <c r="AM352" t="s">
        <v>1043</v>
      </c>
    </row>
    <row r="353" spans="34:39" x14ac:dyDescent="0.3">
      <c r="AH353" s="13" t="s">
        <v>448</v>
      </c>
      <c r="AI353" s="13"/>
      <c r="AJ353" t="s">
        <v>669</v>
      </c>
      <c r="AK353" t="s">
        <v>256</v>
      </c>
      <c r="AL353">
        <v>41991</v>
      </c>
      <c r="AM353" t="s">
        <v>1042</v>
      </c>
    </row>
    <row r="354" spans="34:39" x14ac:dyDescent="0.3">
      <c r="AH354" s="13" t="s">
        <v>478</v>
      </c>
      <c r="AI354" s="13"/>
      <c r="AJ354" t="s">
        <v>670</v>
      </c>
      <c r="AK354" t="s">
        <v>392</v>
      </c>
      <c r="AL354">
        <v>40843</v>
      </c>
      <c r="AM354" t="s">
        <v>1033</v>
      </c>
    </row>
    <row r="355" spans="34:39" x14ac:dyDescent="0.3">
      <c r="AH355" s="13" t="s">
        <v>511</v>
      </c>
      <c r="AI355" s="13"/>
      <c r="AJ355" t="s">
        <v>671</v>
      </c>
      <c r="AK355" t="s">
        <v>514</v>
      </c>
      <c r="AL355">
        <v>42569</v>
      </c>
      <c r="AM355" t="s">
        <v>1039</v>
      </c>
    </row>
    <row r="356" spans="34:39" x14ac:dyDescent="0.3">
      <c r="AH356" s="13" t="s">
        <v>900</v>
      </c>
      <c r="AI356" s="13"/>
      <c r="AJ356" t="s">
        <v>672</v>
      </c>
      <c r="AK356" t="s">
        <v>341</v>
      </c>
      <c r="AL356">
        <v>42544</v>
      </c>
      <c r="AM356" t="s">
        <v>1035</v>
      </c>
    </row>
    <row r="357" spans="34:39" x14ac:dyDescent="0.3">
      <c r="AH357" s="13" t="s">
        <v>976</v>
      </c>
      <c r="AI357" s="13"/>
      <c r="AJ357" t="s">
        <v>673</v>
      </c>
      <c r="AK357" t="s">
        <v>350</v>
      </c>
      <c r="AL357">
        <v>41380</v>
      </c>
      <c r="AM357" t="s">
        <v>1033</v>
      </c>
    </row>
    <row r="358" spans="34:39" x14ac:dyDescent="0.3">
      <c r="AH358" s="13" t="s">
        <v>761</v>
      </c>
      <c r="AI358" s="13"/>
      <c r="AJ358" t="s">
        <v>674</v>
      </c>
      <c r="AK358" t="s">
        <v>675</v>
      </c>
      <c r="AL358">
        <v>41356</v>
      </c>
      <c r="AM358" t="s">
        <v>1033</v>
      </c>
    </row>
    <row r="359" spans="34:39" x14ac:dyDescent="0.3">
      <c r="AH359" s="13" t="s">
        <v>801</v>
      </c>
      <c r="AI359" s="13"/>
      <c r="AJ359" t="s">
        <v>676</v>
      </c>
      <c r="AK359" t="s">
        <v>256</v>
      </c>
      <c r="AL359">
        <v>42264</v>
      </c>
      <c r="AM359" t="s">
        <v>1042</v>
      </c>
    </row>
    <row r="360" spans="34:39" x14ac:dyDescent="0.3">
      <c r="AH360" s="13" t="s">
        <v>461</v>
      </c>
      <c r="AI360" s="13"/>
      <c r="AJ360" t="s">
        <v>677</v>
      </c>
      <c r="AK360" t="s">
        <v>678</v>
      </c>
      <c r="AL360">
        <v>42282</v>
      </c>
      <c r="AM360" t="s">
        <v>1033</v>
      </c>
    </row>
    <row r="361" spans="34:39" x14ac:dyDescent="0.3">
      <c r="AH361" s="13" t="s">
        <v>814</v>
      </c>
      <c r="AI361" s="13"/>
      <c r="AJ361" t="s">
        <v>679</v>
      </c>
      <c r="AK361" t="s">
        <v>680</v>
      </c>
      <c r="AL361">
        <v>43057</v>
      </c>
      <c r="AM361" t="s">
        <v>1033</v>
      </c>
    </row>
    <row r="362" spans="34:39" x14ac:dyDescent="0.3">
      <c r="AH362" s="13" t="s">
        <v>816</v>
      </c>
      <c r="AI362" s="13"/>
      <c r="AJ362" t="s">
        <v>681</v>
      </c>
      <c r="AK362" t="s">
        <v>392</v>
      </c>
      <c r="AL362">
        <v>42803.166666666664</v>
      </c>
      <c r="AM362" t="s">
        <v>1033</v>
      </c>
    </row>
    <row r="363" spans="34:39" x14ac:dyDescent="0.3">
      <c r="AH363" s="13" t="s">
        <v>824</v>
      </c>
      <c r="AI363" s="13"/>
      <c r="AJ363" t="s">
        <v>682</v>
      </c>
      <c r="AK363" t="s">
        <v>238</v>
      </c>
      <c r="AL363">
        <v>41536</v>
      </c>
      <c r="AM363" t="s">
        <v>1045</v>
      </c>
    </row>
    <row r="364" spans="34:39" x14ac:dyDescent="0.3">
      <c r="AH364" s="13" t="s">
        <v>550</v>
      </c>
      <c r="AI364" s="13"/>
      <c r="AJ364" t="s">
        <v>683</v>
      </c>
      <c r="AK364" t="s">
        <v>256</v>
      </c>
      <c r="AL364">
        <v>42599</v>
      </c>
      <c r="AM364" t="s">
        <v>1039</v>
      </c>
    </row>
    <row r="365" spans="34:39" x14ac:dyDescent="0.3">
      <c r="AH365" s="13" t="s">
        <v>618</v>
      </c>
      <c r="AI365" s="13"/>
      <c r="AJ365" t="s">
        <v>684</v>
      </c>
      <c r="AK365" t="s">
        <v>685</v>
      </c>
      <c r="AL365">
        <v>42032</v>
      </c>
      <c r="AM365" t="s">
        <v>1033</v>
      </c>
    </row>
    <row r="366" spans="34:39" x14ac:dyDescent="0.3">
      <c r="AH366" s="13" t="s">
        <v>512</v>
      </c>
      <c r="AI366" s="13"/>
      <c r="AJ366" t="s">
        <v>686</v>
      </c>
      <c r="AK366" t="s">
        <v>350</v>
      </c>
      <c r="AL366">
        <v>41180</v>
      </c>
      <c r="AM366" t="s">
        <v>1033</v>
      </c>
    </row>
    <row r="367" spans="34:39" x14ac:dyDescent="0.3">
      <c r="AH367" s="13" t="s">
        <v>471</v>
      </c>
      <c r="AI367" s="13"/>
      <c r="AJ367" t="s">
        <v>687</v>
      </c>
      <c r="AK367" t="s">
        <v>413</v>
      </c>
      <c r="AL367">
        <v>41729</v>
      </c>
      <c r="AM367" t="s">
        <v>1033</v>
      </c>
    </row>
    <row r="368" spans="34:39" x14ac:dyDescent="0.3">
      <c r="AH368" s="13" t="s">
        <v>798</v>
      </c>
      <c r="AI368" s="13"/>
      <c r="AJ368" t="s">
        <v>688</v>
      </c>
      <c r="AK368" t="s">
        <v>282</v>
      </c>
      <c r="AL368">
        <v>42322</v>
      </c>
      <c r="AM368" t="s">
        <v>1037</v>
      </c>
    </row>
    <row r="369" spans="34:39" x14ac:dyDescent="0.3">
      <c r="AH369" s="13" t="s">
        <v>805</v>
      </c>
      <c r="AI369" s="13"/>
      <c r="AJ369" t="s">
        <v>689</v>
      </c>
      <c r="AK369" t="s">
        <v>514</v>
      </c>
      <c r="AL369">
        <v>42569</v>
      </c>
      <c r="AM369" t="s">
        <v>1039</v>
      </c>
    </row>
    <row r="370" spans="34:39" x14ac:dyDescent="0.3">
      <c r="AH370" s="13" t="s">
        <v>484</v>
      </c>
      <c r="AI370" s="13"/>
      <c r="AJ370" t="s">
        <v>690</v>
      </c>
      <c r="AK370" t="s">
        <v>691</v>
      </c>
      <c r="AL370">
        <v>41359.820833333331</v>
      </c>
      <c r="AM370" t="s">
        <v>1033</v>
      </c>
    </row>
    <row r="371" spans="34:39" x14ac:dyDescent="0.3">
      <c r="AH371" s="13" t="s">
        <v>925</v>
      </c>
      <c r="AI371" s="13"/>
      <c r="AJ371" t="s">
        <v>692</v>
      </c>
      <c r="AK371" t="s">
        <v>405</v>
      </c>
      <c r="AL371">
        <v>42817</v>
      </c>
      <c r="AM371" t="s">
        <v>1033</v>
      </c>
    </row>
    <row r="372" spans="34:39" x14ac:dyDescent="0.3">
      <c r="AH372" s="13" t="s">
        <v>599</v>
      </c>
      <c r="AI372" s="13"/>
      <c r="AJ372" t="s">
        <v>693</v>
      </c>
      <c r="AK372" t="s">
        <v>256</v>
      </c>
      <c r="AL372">
        <v>41817</v>
      </c>
      <c r="AM372" t="s">
        <v>1037</v>
      </c>
    </row>
    <row r="373" spans="34:39" x14ac:dyDescent="0.3">
      <c r="AH373" s="13" t="s">
        <v>952</v>
      </c>
      <c r="AI373" s="13"/>
      <c r="AJ373" t="s">
        <v>694</v>
      </c>
      <c r="AK373" t="s">
        <v>695</v>
      </c>
      <c r="AL373">
        <v>42026</v>
      </c>
      <c r="AM373" t="s">
        <v>1033</v>
      </c>
    </row>
    <row r="374" spans="34:39" x14ac:dyDescent="0.3">
      <c r="AH374" s="13" t="s">
        <v>787</v>
      </c>
      <c r="AI374" s="13"/>
      <c r="AJ374" t="s">
        <v>696</v>
      </c>
      <c r="AK374" t="s">
        <v>341</v>
      </c>
      <c r="AL374">
        <v>41624</v>
      </c>
      <c r="AM374" t="s">
        <v>1043</v>
      </c>
    </row>
    <row r="375" spans="34:39" x14ac:dyDescent="0.3">
      <c r="AH375" s="13" t="s">
        <v>615</v>
      </c>
      <c r="AI375" s="13"/>
      <c r="AJ375" t="s">
        <v>697</v>
      </c>
      <c r="AK375" t="s">
        <v>341</v>
      </c>
      <c r="AL375">
        <v>41604</v>
      </c>
      <c r="AM375" t="s">
        <v>1043</v>
      </c>
    </row>
    <row r="376" spans="34:39" x14ac:dyDescent="0.3">
      <c r="AH376" s="13" t="s">
        <v>854</v>
      </c>
      <c r="AI376" s="13"/>
      <c r="AJ376" t="s">
        <v>698</v>
      </c>
      <c r="AK376" t="s">
        <v>695</v>
      </c>
      <c r="AL376">
        <v>42025</v>
      </c>
      <c r="AM376" t="s">
        <v>1033</v>
      </c>
    </row>
    <row r="377" spans="34:39" x14ac:dyDescent="0.3">
      <c r="AH377" s="13" t="s">
        <v>455</v>
      </c>
      <c r="AI377" s="13"/>
      <c r="AJ377" t="s">
        <v>699</v>
      </c>
      <c r="AK377" t="s">
        <v>350</v>
      </c>
      <c r="AL377">
        <v>41180</v>
      </c>
      <c r="AM377" t="s">
        <v>1033</v>
      </c>
    </row>
    <row r="378" spans="34:39" x14ac:dyDescent="0.3">
      <c r="AH378" s="13" t="s">
        <v>620</v>
      </c>
      <c r="AI378" s="13"/>
      <c r="AJ378" t="s">
        <v>700</v>
      </c>
      <c r="AK378" t="s">
        <v>701</v>
      </c>
      <c r="AL378">
        <v>41972</v>
      </c>
      <c r="AM378" t="s">
        <v>1037</v>
      </c>
    </row>
    <row r="379" spans="34:39" x14ac:dyDescent="0.3">
      <c r="AH379" s="13" t="s">
        <v>470</v>
      </c>
      <c r="AI379" s="13"/>
      <c r="AJ379" t="s">
        <v>702</v>
      </c>
      <c r="AK379" t="s">
        <v>625</v>
      </c>
      <c r="AL379">
        <v>41544</v>
      </c>
      <c r="AM379" t="s">
        <v>1037</v>
      </c>
    </row>
    <row r="380" spans="34:39" x14ac:dyDescent="0.3">
      <c r="AH380" s="13" t="s">
        <v>530</v>
      </c>
      <c r="AI380" s="13"/>
      <c r="AJ380" t="s">
        <v>703</v>
      </c>
      <c r="AK380" t="s">
        <v>256</v>
      </c>
      <c r="AL380">
        <v>42588</v>
      </c>
      <c r="AM380" t="s">
        <v>1039</v>
      </c>
    </row>
    <row r="381" spans="34:39" x14ac:dyDescent="0.3">
      <c r="AH381" s="13" t="s">
        <v>561</v>
      </c>
      <c r="AI381" s="13"/>
      <c r="AJ381" t="s">
        <v>704</v>
      </c>
      <c r="AK381" t="s">
        <v>256</v>
      </c>
      <c r="AL381">
        <v>43273</v>
      </c>
      <c r="AM381" t="s">
        <v>1036</v>
      </c>
    </row>
    <row r="382" spans="34:39" x14ac:dyDescent="0.3">
      <c r="AH382" s="13" t="s">
        <v>589</v>
      </c>
      <c r="AI382" s="13"/>
      <c r="AJ382" t="s">
        <v>705</v>
      </c>
      <c r="AK382" t="s">
        <v>350</v>
      </c>
      <c r="AL382">
        <v>41380</v>
      </c>
      <c r="AM382" t="s">
        <v>1033</v>
      </c>
    </row>
    <row r="383" spans="34:39" x14ac:dyDescent="0.3">
      <c r="AH383" s="13" t="s">
        <v>915</v>
      </c>
      <c r="AI383" s="13"/>
      <c r="AJ383" t="s">
        <v>706</v>
      </c>
      <c r="AK383" t="s">
        <v>282</v>
      </c>
      <c r="AL383">
        <v>43373</v>
      </c>
      <c r="AM383" t="s">
        <v>1036</v>
      </c>
    </row>
    <row r="384" spans="34:39" x14ac:dyDescent="0.3">
      <c r="AH384" s="13" t="s">
        <v>827</v>
      </c>
      <c r="AI384" s="13"/>
      <c r="AJ384" t="s">
        <v>707</v>
      </c>
      <c r="AK384" t="s">
        <v>514</v>
      </c>
      <c r="AL384">
        <v>42277</v>
      </c>
      <c r="AM384" t="s">
        <v>1039</v>
      </c>
    </row>
    <row r="385" spans="34:39" x14ac:dyDescent="0.3">
      <c r="AH385" s="13" t="s">
        <v>884</v>
      </c>
      <c r="AI385" s="13"/>
      <c r="AJ385" t="s">
        <v>708</v>
      </c>
      <c r="AK385" t="s">
        <v>261</v>
      </c>
      <c r="AL385">
        <v>43278</v>
      </c>
      <c r="AM385" t="s">
        <v>1033</v>
      </c>
    </row>
    <row r="386" spans="34:39" x14ac:dyDescent="0.3">
      <c r="AH386" s="13" t="s">
        <v>628</v>
      </c>
      <c r="AI386" s="13"/>
      <c r="AJ386" t="s">
        <v>709</v>
      </c>
      <c r="AK386" t="s">
        <v>487</v>
      </c>
      <c r="AL386">
        <v>39995</v>
      </c>
      <c r="AM386" t="s">
        <v>1033</v>
      </c>
    </row>
    <row r="387" spans="34:39" x14ac:dyDescent="0.3">
      <c r="AH387" s="13" t="s">
        <v>825</v>
      </c>
      <c r="AI387" s="13"/>
      <c r="AJ387" t="s">
        <v>710</v>
      </c>
      <c r="AK387" t="s">
        <v>514</v>
      </c>
      <c r="AL387">
        <v>40180</v>
      </c>
      <c r="AM387" t="s">
        <v>1033</v>
      </c>
    </row>
    <row r="388" spans="34:39" x14ac:dyDescent="0.3">
      <c r="AH388" s="13" t="s">
        <v>639</v>
      </c>
      <c r="AI388" s="13"/>
      <c r="AJ388" t="s">
        <v>711</v>
      </c>
      <c r="AK388" t="s">
        <v>247</v>
      </c>
      <c r="AL388">
        <v>40906</v>
      </c>
      <c r="AM388" t="s">
        <v>1033</v>
      </c>
    </row>
    <row r="389" spans="34:39" x14ac:dyDescent="0.3">
      <c r="AH389" s="13" t="s">
        <v>811</v>
      </c>
      <c r="AI389" s="13"/>
      <c r="AJ389" t="s">
        <v>712</v>
      </c>
      <c r="AK389" t="s">
        <v>713</v>
      </c>
      <c r="AL389">
        <v>43638</v>
      </c>
      <c r="AM389" t="s">
        <v>1036</v>
      </c>
    </row>
    <row r="390" spans="34:39" x14ac:dyDescent="0.3">
      <c r="AH390" s="13" t="s">
        <v>444</v>
      </c>
      <c r="AI390" s="13"/>
      <c r="AJ390" t="s">
        <v>714</v>
      </c>
      <c r="AK390" t="s">
        <v>715</v>
      </c>
      <c r="AL390">
        <v>40815</v>
      </c>
      <c r="AM390" t="s">
        <v>1044</v>
      </c>
    </row>
    <row r="391" spans="34:39" x14ac:dyDescent="0.3">
      <c r="AH391" s="13" t="s">
        <v>621</v>
      </c>
      <c r="AI391" s="13"/>
      <c r="AJ391" t="s">
        <v>716</v>
      </c>
      <c r="AK391" t="s">
        <v>517</v>
      </c>
      <c r="AL391">
        <v>41731</v>
      </c>
      <c r="AM391" t="s">
        <v>1040</v>
      </c>
    </row>
    <row r="392" spans="34:39" x14ac:dyDescent="0.3">
      <c r="AH392" s="13" t="s">
        <v>453</v>
      </c>
      <c r="AI392" s="13"/>
      <c r="AJ392" t="s">
        <v>717</v>
      </c>
      <c r="AK392" t="s">
        <v>718</v>
      </c>
      <c r="AL392">
        <v>41445</v>
      </c>
      <c r="AM392" t="s">
        <v>1033</v>
      </c>
    </row>
    <row r="393" spans="34:39" x14ac:dyDescent="0.3">
      <c r="AH393" s="13" t="s">
        <v>554</v>
      </c>
      <c r="AI393" s="13"/>
      <c r="AJ393" t="s">
        <v>719</v>
      </c>
      <c r="AK393" t="s">
        <v>256</v>
      </c>
      <c r="AL393">
        <v>42414</v>
      </c>
      <c r="AM393" t="s">
        <v>1039</v>
      </c>
    </row>
    <row r="394" spans="34:39" x14ac:dyDescent="0.3">
      <c r="AH394" s="13" t="s">
        <v>525</v>
      </c>
      <c r="AI394" s="13"/>
      <c r="AJ394" t="s">
        <v>720</v>
      </c>
      <c r="AK394" t="s">
        <v>341</v>
      </c>
      <c r="AL394">
        <v>41535</v>
      </c>
      <c r="AM394" t="s">
        <v>1041</v>
      </c>
    </row>
    <row r="395" spans="34:39" x14ac:dyDescent="0.3">
      <c r="AH395" s="13" t="s">
        <v>807</v>
      </c>
      <c r="AI395" s="13"/>
      <c r="AJ395" t="s">
        <v>721</v>
      </c>
      <c r="AK395" t="s">
        <v>256</v>
      </c>
      <c r="AL395">
        <v>42624</v>
      </c>
      <c r="AM395" t="s">
        <v>1039</v>
      </c>
    </row>
    <row r="396" spans="34:39" x14ac:dyDescent="0.3">
      <c r="AH396" s="13" t="s">
        <v>604</v>
      </c>
      <c r="AI396" s="13"/>
      <c r="AJ396" t="s">
        <v>722</v>
      </c>
      <c r="AK396" t="s">
        <v>341</v>
      </c>
      <c r="AL396">
        <v>42643</v>
      </c>
      <c r="AM396" t="s">
        <v>1035</v>
      </c>
    </row>
    <row r="397" spans="34:39" x14ac:dyDescent="0.3">
      <c r="AH397" s="13" t="s">
        <v>810</v>
      </c>
      <c r="AI397" s="13"/>
      <c r="AJ397" t="s">
        <v>723</v>
      </c>
      <c r="AK397" t="s">
        <v>653</v>
      </c>
      <c r="AL397">
        <v>41586</v>
      </c>
      <c r="AM397" t="s">
        <v>1033</v>
      </c>
    </row>
    <row r="398" spans="34:39" x14ac:dyDescent="0.3">
      <c r="AH398" s="13" t="s">
        <v>565</v>
      </c>
      <c r="AI398" s="13"/>
      <c r="AJ398" t="s">
        <v>724</v>
      </c>
      <c r="AK398" t="s">
        <v>288</v>
      </c>
      <c r="AL398">
        <v>43532</v>
      </c>
      <c r="AM398" t="s">
        <v>1036</v>
      </c>
    </row>
    <row r="399" spans="34:39" x14ac:dyDescent="0.3">
      <c r="AH399" s="13" t="s">
        <v>914</v>
      </c>
      <c r="AI399" s="13"/>
      <c r="AJ399" t="s">
        <v>725</v>
      </c>
      <c r="AK399" t="s">
        <v>261</v>
      </c>
      <c r="AL399">
        <v>43086</v>
      </c>
      <c r="AM399" t="s">
        <v>1033</v>
      </c>
    </row>
    <row r="400" spans="34:39" x14ac:dyDescent="0.3">
      <c r="AH400" s="13" t="s">
        <v>464</v>
      </c>
      <c r="AI400" s="13"/>
      <c r="AJ400" t="s">
        <v>726</v>
      </c>
      <c r="AK400" t="s">
        <v>405</v>
      </c>
      <c r="AL400">
        <v>42735</v>
      </c>
      <c r="AM400" t="s">
        <v>1033</v>
      </c>
    </row>
    <row r="401" spans="34:39" x14ac:dyDescent="0.3">
      <c r="AH401" s="13" t="s">
        <v>940</v>
      </c>
      <c r="AI401" s="13"/>
      <c r="AJ401" t="s">
        <v>727</v>
      </c>
      <c r="AK401" t="s">
        <v>487</v>
      </c>
      <c r="AL401">
        <v>41547</v>
      </c>
      <c r="AM401" t="s">
        <v>1033</v>
      </c>
    </row>
    <row r="402" spans="34:39" x14ac:dyDescent="0.3">
      <c r="AH402" s="13" t="s">
        <v>753</v>
      </c>
      <c r="AI402" s="13"/>
      <c r="AJ402" t="s">
        <v>728</v>
      </c>
      <c r="AK402" t="s">
        <v>514</v>
      </c>
      <c r="AL402">
        <v>40712.630555555559</v>
      </c>
      <c r="AM402" t="s">
        <v>1044</v>
      </c>
    </row>
    <row r="403" spans="34:39" x14ac:dyDescent="0.3">
      <c r="AH403" s="13" t="s">
        <v>605</v>
      </c>
      <c r="AI403" s="13"/>
      <c r="AJ403" t="s">
        <v>729</v>
      </c>
      <c r="AK403" t="s">
        <v>256</v>
      </c>
      <c r="AL403">
        <v>43207</v>
      </c>
      <c r="AM403" t="s">
        <v>1036</v>
      </c>
    </row>
    <row r="404" spans="34:39" x14ac:dyDescent="0.3">
      <c r="AH404" s="13" t="s">
        <v>839</v>
      </c>
      <c r="AI404" s="13"/>
      <c r="AJ404" t="s">
        <v>730</v>
      </c>
      <c r="AK404" t="s">
        <v>731</v>
      </c>
      <c r="AL404">
        <v>40896</v>
      </c>
      <c r="AM404" t="s">
        <v>1033</v>
      </c>
    </row>
    <row r="405" spans="34:39" x14ac:dyDescent="0.3">
      <c r="AH405" s="13" t="s">
        <v>895</v>
      </c>
      <c r="AI405" s="13"/>
      <c r="AJ405" t="s">
        <v>732</v>
      </c>
      <c r="AK405" t="s">
        <v>597</v>
      </c>
      <c r="AL405">
        <v>40816</v>
      </c>
      <c r="AM405" t="s">
        <v>1044</v>
      </c>
    </row>
    <row r="406" spans="34:39" x14ac:dyDescent="0.3">
      <c r="AH406" s="13" t="s">
        <v>485</v>
      </c>
      <c r="AI406" s="13"/>
      <c r="AJ406" t="s">
        <v>733</v>
      </c>
      <c r="AK406" t="s">
        <v>514</v>
      </c>
      <c r="AL406">
        <v>41341</v>
      </c>
      <c r="AM406" t="s">
        <v>1041</v>
      </c>
    </row>
    <row r="407" spans="34:39" x14ac:dyDescent="0.3">
      <c r="AH407" s="13" t="s">
        <v>943</v>
      </c>
      <c r="AI407" s="13"/>
      <c r="AJ407" t="s">
        <v>734</v>
      </c>
      <c r="AK407" t="s">
        <v>609</v>
      </c>
      <c r="AL407">
        <v>42550</v>
      </c>
      <c r="AM407" t="s">
        <v>1039</v>
      </c>
    </row>
    <row r="408" spans="34:39" x14ac:dyDescent="0.3">
      <c r="AH408" s="13" t="s">
        <v>657</v>
      </c>
      <c r="AI408" s="13"/>
      <c r="AJ408" t="s">
        <v>735</v>
      </c>
      <c r="AK408" t="s">
        <v>341</v>
      </c>
      <c r="AL408">
        <v>41512</v>
      </c>
      <c r="AM408" t="s">
        <v>1041</v>
      </c>
    </row>
    <row r="409" spans="34:39" x14ac:dyDescent="0.3">
      <c r="AH409" s="13" t="s">
        <v>989</v>
      </c>
      <c r="AI409" s="13"/>
      <c r="AJ409" t="s">
        <v>736</v>
      </c>
      <c r="AK409" t="s">
        <v>737</v>
      </c>
      <c r="AL409">
        <v>41254</v>
      </c>
      <c r="AM409" t="s">
        <v>1037</v>
      </c>
    </row>
    <row r="410" spans="34:39" x14ac:dyDescent="0.3">
      <c r="AH410" s="13" t="s">
        <v>860</v>
      </c>
      <c r="AI410" s="13"/>
      <c r="AJ410" t="s">
        <v>738</v>
      </c>
      <c r="AK410" t="s">
        <v>341</v>
      </c>
      <c r="AL410">
        <v>42874</v>
      </c>
      <c r="AM410" t="s">
        <v>1035</v>
      </c>
    </row>
    <row r="411" spans="34:39" x14ac:dyDescent="0.3">
      <c r="AH411" s="13" t="s">
        <v>676</v>
      </c>
      <c r="AI411" s="13"/>
      <c r="AJ411" t="s">
        <v>739</v>
      </c>
      <c r="AK411" t="s">
        <v>740</v>
      </c>
      <c r="AL411">
        <v>42153</v>
      </c>
      <c r="AM411" t="s">
        <v>1033</v>
      </c>
    </row>
    <row r="412" spans="34:39" x14ac:dyDescent="0.3">
      <c r="AH412" s="13" t="s">
        <v>908</v>
      </c>
      <c r="AI412" s="13"/>
      <c r="AJ412" t="s">
        <v>741</v>
      </c>
      <c r="AK412" t="s">
        <v>341</v>
      </c>
      <c r="AL412">
        <v>42552</v>
      </c>
      <c r="AM412" t="s">
        <v>1039</v>
      </c>
    </row>
    <row r="413" spans="34:39" x14ac:dyDescent="0.3">
      <c r="AH413" s="13" t="s">
        <v>920</v>
      </c>
      <c r="AI413" s="13"/>
      <c r="AJ413" t="s">
        <v>742</v>
      </c>
      <c r="AK413" t="s">
        <v>256</v>
      </c>
      <c r="AL413">
        <v>41911</v>
      </c>
      <c r="AM413" t="s">
        <v>1037</v>
      </c>
    </row>
    <row r="414" spans="34:39" x14ac:dyDescent="0.3">
      <c r="AH414" s="13" t="s">
        <v>945</v>
      </c>
      <c r="AI414" s="13"/>
      <c r="AJ414" t="s">
        <v>743</v>
      </c>
      <c r="AK414" t="s">
        <v>691</v>
      </c>
      <c r="AL414">
        <v>41151</v>
      </c>
      <c r="AM414" t="s">
        <v>1033</v>
      </c>
    </row>
    <row r="415" spans="34:39" x14ac:dyDescent="0.3">
      <c r="AH415" s="13" t="s">
        <v>775</v>
      </c>
      <c r="AI415" s="13"/>
      <c r="AJ415" t="s">
        <v>744</v>
      </c>
      <c r="AK415" t="s">
        <v>514</v>
      </c>
      <c r="AL415">
        <v>41357</v>
      </c>
      <c r="AM415" t="s">
        <v>1041</v>
      </c>
    </row>
    <row r="416" spans="34:39" x14ac:dyDescent="0.3">
      <c r="AH416" s="13" t="s">
        <v>950</v>
      </c>
      <c r="AI416" s="13"/>
      <c r="AJ416" t="s">
        <v>745</v>
      </c>
      <c r="AK416" t="s">
        <v>514</v>
      </c>
      <c r="AL416">
        <v>42263</v>
      </c>
      <c r="AM416" t="s">
        <v>1039</v>
      </c>
    </row>
    <row r="417" spans="34:39" x14ac:dyDescent="0.3">
      <c r="AH417" s="13" t="s">
        <v>802</v>
      </c>
      <c r="AI417" s="13"/>
      <c r="AJ417" t="s">
        <v>746</v>
      </c>
      <c r="AK417" t="s">
        <v>256</v>
      </c>
      <c r="AL417">
        <v>42604</v>
      </c>
      <c r="AM417" t="s">
        <v>1039</v>
      </c>
    </row>
    <row r="418" spans="34:39" x14ac:dyDescent="0.3">
      <c r="AH418" s="13" t="s">
        <v>566</v>
      </c>
      <c r="AI418" s="13"/>
      <c r="AJ418" t="s">
        <v>747</v>
      </c>
      <c r="AK418" t="s">
        <v>256</v>
      </c>
      <c r="AL418">
        <v>43200</v>
      </c>
      <c r="AM418" t="s">
        <v>1036</v>
      </c>
    </row>
    <row r="419" spans="34:39" x14ac:dyDescent="0.3">
      <c r="AH419" s="13" t="s">
        <v>616</v>
      </c>
      <c r="AI419" s="13"/>
      <c r="AJ419" t="s">
        <v>748</v>
      </c>
      <c r="AK419" t="s">
        <v>256</v>
      </c>
      <c r="AL419">
        <v>42633</v>
      </c>
      <c r="AM419" t="s">
        <v>1039</v>
      </c>
    </row>
    <row r="420" spans="34:39" x14ac:dyDescent="0.3">
      <c r="AH420" s="13" t="s">
        <v>269</v>
      </c>
      <c r="AI420" s="13"/>
      <c r="AJ420" t="s">
        <v>749</v>
      </c>
      <c r="AK420" t="s">
        <v>341</v>
      </c>
      <c r="AL420">
        <v>41403</v>
      </c>
      <c r="AM420" t="s">
        <v>1041</v>
      </c>
    </row>
    <row r="421" spans="34:39" x14ac:dyDescent="0.3">
      <c r="AH421" s="13" t="s">
        <v>452</v>
      </c>
      <c r="AI421" s="13"/>
      <c r="AJ421" t="s">
        <v>750</v>
      </c>
      <c r="AK421" t="s">
        <v>751</v>
      </c>
      <c r="AL421">
        <v>40884.720833333333</v>
      </c>
      <c r="AM421" t="s">
        <v>1033</v>
      </c>
    </row>
    <row r="422" spans="34:39" x14ac:dyDescent="0.3">
      <c r="AH422" s="13" t="s">
        <v>692</v>
      </c>
      <c r="AI422" s="13"/>
      <c r="AJ422" t="s">
        <v>752</v>
      </c>
      <c r="AK422" t="s">
        <v>341</v>
      </c>
      <c r="AL422">
        <v>41363</v>
      </c>
      <c r="AM422" t="s">
        <v>1041</v>
      </c>
    </row>
    <row r="423" spans="34:39" x14ac:dyDescent="0.3">
      <c r="AH423" s="13" t="s">
        <v>1025</v>
      </c>
      <c r="AI423" s="13"/>
      <c r="AJ423" t="s">
        <v>753</v>
      </c>
      <c r="AK423" t="s">
        <v>256</v>
      </c>
      <c r="AL423">
        <v>42384</v>
      </c>
      <c r="AM423" t="s">
        <v>1042</v>
      </c>
    </row>
    <row r="424" spans="34:39" x14ac:dyDescent="0.3">
      <c r="AH424" s="13" t="s">
        <v>933</v>
      </c>
      <c r="AI424" s="13"/>
      <c r="AJ424" t="s">
        <v>754</v>
      </c>
      <c r="AK424" t="s">
        <v>755</v>
      </c>
      <c r="AL424">
        <v>42825</v>
      </c>
      <c r="AM424" t="s">
        <v>1040</v>
      </c>
    </row>
    <row r="425" spans="34:39" x14ac:dyDescent="0.3">
      <c r="AH425" s="13" t="s">
        <v>404</v>
      </c>
      <c r="AI425" s="13"/>
      <c r="AJ425" t="s">
        <v>756</v>
      </c>
      <c r="AK425" t="s">
        <v>757</v>
      </c>
      <c r="AL425">
        <v>40809.49722222222</v>
      </c>
      <c r="AM425" t="s">
        <v>1033</v>
      </c>
    </row>
    <row r="426" spans="34:39" x14ac:dyDescent="0.3">
      <c r="AH426" s="13" t="s">
        <v>726</v>
      </c>
      <c r="AI426" s="13"/>
      <c r="AJ426" t="s">
        <v>758</v>
      </c>
      <c r="AK426" t="s">
        <v>759</v>
      </c>
      <c r="AL426">
        <v>40752.416666666664</v>
      </c>
      <c r="AM426" t="s">
        <v>1033</v>
      </c>
    </row>
    <row r="427" spans="34:39" x14ac:dyDescent="0.3">
      <c r="AH427" s="13" t="s">
        <v>600</v>
      </c>
      <c r="AI427" s="13"/>
      <c r="AJ427" t="s">
        <v>760</v>
      </c>
      <c r="AK427" t="s">
        <v>487</v>
      </c>
      <c r="AL427">
        <v>42089</v>
      </c>
      <c r="AM427" t="s">
        <v>1033</v>
      </c>
    </row>
    <row r="428" spans="34:39" x14ac:dyDescent="0.3">
      <c r="AH428" s="13" t="s">
        <v>406</v>
      </c>
      <c r="AI428" s="13"/>
      <c r="AJ428" t="s">
        <v>761</v>
      </c>
      <c r="AK428" t="s">
        <v>256</v>
      </c>
      <c r="AL428">
        <v>42090</v>
      </c>
      <c r="AM428" t="s">
        <v>1042</v>
      </c>
    </row>
    <row r="429" spans="34:39" x14ac:dyDescent="0.3">
      <c r="AH429" s="13" t="s">
        <v>736</v>
      </c>
      <c r="AI429" s="13"/>
      <c r="AJ429" t="s">
        <v>762</v>
      </c>
      <c r="AK429" t="s">
        <v>256</v>
      </c>
      <c r="AL429">
        <v>42368</v>
      </c>
      <c r="AM429" t="s">
        <v>1042</v>
      </c>
    </row>
    <row r="430" spans="34:39" x14ac:dyDescent="0.3">
      <c r="AH430" s="13" t="s">
        <v>694</v>
      </c>
      <c r="AI430" s="13"/>
      <c r="AJ430" t="s">
        <v>763</v>
      </c>
      <c r="AK430" t="s">
        <v>241</v>
      </c>
      <c r="AL430">
        <v>42985</v>
      </c>
      <c r="AM430" t="s">
        <v>1036</v>
      </c>
    </row>
    <row r="431" spans="34:39" x14ac:dyDescent="0.3">
      <c r="AH431" s="13" t="s">
        <v>698</v>
      </c>
      <c r="AI431" s="13"/>
      <c r="AJ431" t="s">
        <v>764</v>
      </c>
      <c r="AK431" t="s">
        <v>256</v>
      </c>
      <c r="AL431">
        <v>42635</v>
      </c>
      <c r="AM431" t="s">
        <v>1039</v>
      </c>
    </row>
    <row r="432" spans="34:39" x14ac:dyDescent="0.3">
      <c r="AH432" s="13" t="s">
        <v>871</v>
      </c>
      <c r="AI432" s="13"/>
      <c r="AJ432" t="s">
        <v>765</v>
      </c>
      <c r="AK432" t="s">
        <v>514</v>
      </c>
      <c r="AL432">
        <v>42540</v>
      </c>
      <c r="AM432" t="s">
        <v>1039</v>
      </c>
    </row>
    <row r="433" spans="34:39" x14ac:dyDescent="0.3">
      <c r="AH433" s="13" t="s">
        <v>730</v>
      </c>
      <c r="AI433" s="13"/>
      <c r="AJ433" t="s">
        <v>766</v>
      </c>
      <c r="AK433" t="s">
        <v>238</v>
      </c>
      <c r="AL433">
        <v>41564</v>
      </c>
      <c r="AM433" t="s">
        <v>1045</v>
      </c>
    </row>
    <row r="434" spans="34:39" x14ac:dyDescent="0.3">
      <c r="AH434" s="13" t="s">
        <v>519</v>
      </c>
      <c r="AI434" s="13"/>
      <c r="AJ434" t="s">
        <v>767</v>
      </c>
      <c r="AK434" t="s">
        <v>256</v>
      </c>
      <c r="AL434">
        <v>42542</v>
      </c>
      <c r="AM434" t="s">
        <v>1039</v>
      </c>
    </row>
    <row r="435" spans="34:39" x14ac:dyDescent="0.3">
      <c r="AH435" s="13" t="s">
        <v>739</v>
      </c>
      <c r="AI435" s="13"/>
      <c r="AJ435" t="s">
        <v>768</v>
      </c>
      <c r="AK435" t="s">
        <v>769</v>
      </c>
      <c r="AL435">
        <v>41532</v>
      </c>
      <c r="AM435" t="s">
        <v>1037</v>
      </c>
    </row>
    <row r="436" spans="34:39" x14ac:dyDescent="0.3">
      <c r="AH436" s="13" t="s">
        <v>712</v>
      </c>
      <c r="AI436" s="13"/>
      <c r="AJ436" t="s">
        <v>770</v>
      </c>
      <c r="AK436" t="s">
        <v>341</v>
      </c>
      <c r="AL436">
        <v>42369</v>
      </c>
      <c r="AM436" t="s">
        <v>1035</v>
      </c>
    </row>
    <row r="437" spans="34:39" x14ac:dyDescent="0.3">
      <c r="AH437" s="13" t="s">
        <v>548</v>
      </c>
      <c r="AI437" s="13"/>
      <c r="AJ437" t="s">
        <v>771</v>
      </c>
      <c r="AK437" t="s">
        <v>514</v>
      </c>
      <c r="AL437">
        <v>41362</v>
      </c>
      <c r="AM437" t="s">
        <v>1041</v>
      </c>
    </row>
    <row r="438" spans="34:39" x14ac:dyDescent="0.3">
      <c r="AH438" s="13" t="s">
        <v>832</v>
      </c>
      <c r="AI438" s="13"/>
      <c r="AJ438" t="s">
        <v>772</v>
      </c>
      <c r="AK438" t="s">
        <v>241</v>
      </c>
      <c r="AL438">
        <v>42642</v>
      </c>
      <c r="AM438" t="s">
        <v>1039</v>
      </c>
    </row>
    <row r="439" spans="34:39" x14ac:dyDescent="0.3">
      <c r="AH439" s="13" t="s">
        <v>1022</v>
      </c>
      <c r="AI439" s="13"/>
      <c r="AJ439" t="s">
        <v>773</v>
      </c>
      <c r="AK439" t="s">
        <v>341</v>
      </c>
      <c r="AL439">
        <v>42644</v>
      </c>
      <c r="AM439" t="s">
        <v>1035</v>
      </c>
    </row>
    <row r="440" spans="34:39" x14ac:dyDescent="0.3">
      <c r="AH440" s="13" t="s">
        <v>275</v>
      </c>
      <c r="AI440" s="13"/>
      <c r="AJ440" t="s">
        <v>774</v>
      </c>
      <c r="AK440" t="s">
        <v>517</v>
      </c>
      <c r="AL440">
        <v>41730</v>
      </c>
      <c r="AM440" t="s">
        <v>1040</v>
      </c>
    </row>
    <row r="441" spans="34:39" x14ac:dyDescent="0.3">
      <c r="AH441" s="13" t="s">
        <v>313</v>
      </c>
      <c r="AI441" s="13"/>
      <c r="AJ441" t="s">
        <v>775</v>
      </c>
      <c r="AK441" t="s">
        <v>256</v>
      </c>
      <c r="AL441">
        <v>42637</v>
      </c>
      <c r="AM441" t="s">
        <v>1039</v>
      </c>
    </row>
    <row r="442" spans="34:39" x14ac:dyDescent="0.3">
      <c r="AH442" s="13" t="s">
        <v>375</v>
      </c>
      <c r="AI442" s="13"/>
      <c r="AJ442" t="s">
        <v>776</v>
      </c>
      <c r="AK442" t="s">
        <v>777</v>
      </c>
      <c r="AL442">
        <v>43558</v>
      </c>
      <c r="AM442" t="s">
        <v>1036</v>
      </c>
    </row>
    <row r="443" spans="34:39" x14ac:dyDescent="0.3">
      <c r="AH443" s="13" t="s">
        <v>345</v>
      </c>
      <c r="AI443" s="13"/>
      <c r="AJ443" t="s">
        <v>778</v>
      </c>
      <c r="AK443" t="s">
        <v>261</v>
      </c>
      <c r="AL443">
        <v>43007</v>
      </c>
      <c r="AM443" t="s">
        <v>1033</v>
      </c>
    </row>
    <row r="444" spans="34:39" x14ac:dyDescent="0.3">
      <c r="AH444" s="13" t="s">
        <v>416</v>
      </c>
      <c r="AI444" s="13"/>
      <c r="AJ444" t="s">
        <v>779</v>
      </c>
      <c r="AK444" t="s">
        <v>341</v>
      </c>
      <c r="AL444">
        <v>42671</v>
      </c>
      <c r="AM444" t="s">
        <v>1035</v>
      </c>
    </row>
    <row r="445" spans="34:39" x14ac:dyDescent="0.3">
      <c r="AH445" s="13" t="s">
        <v>250</v>
      </c>
      <c r="AI445" s="13"/>
      <c r="AJ445" t="s">
        <v>780</v>
      </c>
      <c r="AK445" t="s">
        <v>341</v>
      </c>
      <c r="AL445">
        <v>42917</v>
      </c>
      <c r="AM445" t="s">
        <v>1035</v>
      </c>
    </row>
    <row r="446" spans="34:39" x14ac:dyDescent="0.3">
      <c r="AH446" s="13" t="s">
        <v>357</v>
      </c>
      <c r="AI446" s="13"/>
      <c r="AJ446" t="s">
        <v>781</v>
      </c>
      <c r="AK446" t="s">
        <v>510</v>
      </c>
      <c r="AL446">
        <v>41226</v>
      </c>
      <c r="AM446" t="s">
        <v>1033</v>
      </c>
    </row>
    <row r="447" spans="34:39" x14ac:dyDescent="0.3">
      <c r="AH447" s="13" t="s">
        <v>252</v>
      </c>
      <c r="AI447" s="13"/>
      <c r="AJ447" t="s">
        <v>782</v>
      </c>
      <c r="AK447" t="s">
        <v>241</v>
      </c>
      <c r="AL447">
        <v>43738</v>
      </c>
      <c r="AM447" t="s">
        <v>1032</v>
      </c>
    </row>
    <row r="448" spans="34:39" x14ac:dyDescent="0.3">
      <c r="AH448" s="13" t="s">
        <v>352</v>
      </c>
      <c r="AI448" s="13"/>
      <c r="AJ448" t="s">
        <v>783</v>
      </c>
      <c r="AK448" t="s">
        <v>282</v>
      </c>
      <c r="AL448">
        <v>43720</v>
      </c>
      <c r="AM448" t="s">
        <v>1036</v>
      </c>
    </row>
    <row r="449" spans="34:39" x14ac:dyDescent="0.3">
      <c r="AH449" s="13" t="s">
        <v>571</v>
      </c>
      <c r="AI449" s="13"/>
      <c r="AJ449" t="s">
        <v>784</v>
      </c>
      <c r="AK449" t="s">
        <v>588</v>
      </c>
      <c r="AL449">
        <v>41627</v>
      </c>
      <c r="AM449" t="s">
        <v>1033</v>
      </c>
    </row>
    <row r="450" spans="34:39" x14ac:dyDescent="0.3">
      <c r="AH450" s="13" t="s">
        <v>422</v>
      </c>
      <c r="AI450" s="13"/>
      <c r="AJ450" t="s">
        <v>785</v>
      </c>
      <c r="AK450" t="s">
        <v>238</v>
      </c>
      <c r="AL450">
        <v>41078</v>
      </c>
      <c r="AM450" t="s">
        <v>1045</v>
      </c>
    </row>
    <row r="451" spans="34:39" x14ac:dyDescent="0.3">
      <c r="AH451" s="13" t="s">
        <v>286</v>
      </c>
      <c r="AI451" s="13"/>
      <c r="AJ451" t="s">
        <v>786</v>
      </c>
      <c r="AK451" t="s">
        <v>514</v>
      </c>
      <c r="AL451">
        <v>41349</v>
      </c>
      <c r="AM451" t="s">
        <v>1041</v>
      </c>
    </row>
    <row r="452" spans="34:39" x14ac:dyDescent="0.3">
      <c r="AH452" s="13" t="s">
        <v>338</v>
      </c>
      <c r="AI452" s="13"/>
      <c r="AJ452" t="s">
        <v>787</v>
      </c>
      <c r="AK452" t="s">
        <v>256</v>
      </c>
      <c r="AL452">
        <v>42063</v>
      </c>
      <c r="AM452" t="s">
        <v>1042</v>
      </c>
    </row>
    <row r="453" spans="34:39" x14ac:dyDescent="0.3">
      <c r="AH453" s="13" t="s">
        <v>370</v>
      </c>
      <c r="AI453" s="13"/>
      <c r="AJ453" t="s">
        <v>788</v>
      </c>
      <c r="AK453" t="s">
        <v>685</v>
      </c>
      <c r="AL453">
        <v>42435</v>
      </c>
      <c r="AM453" t="s">
        <v>1037</v>
      </c>
    </row>
    <row r="454" spans="34:39" x14ac:dyDescent="0.3">
      <c r="AH454" s="13" t="s">
        <v>377</v>
      </c>
      <c r="AI454" s="13"/>
      <c r="AJ454" t="s">
        <v>789</v>
      </c>
      <c r="AK454" t="s">
        <v>790</v>
      </c>
      <c r="AL454">
        <v>41668</v>
      </c>
      <c r="AM454" t="s">
        <v>1033</v>
      </c>
    </row>
    <row r="455" spans="34:39" x14ac:dyDescent="0.3">
      <c r="AH455" s="13" t="s">
        <v>312</v>
      </c>
      <c r="AI455" s="13"/>
      <c r="AJ455" t="s">
        <v>791</v>
      </c>
      <c r="AK455" t="s">
        <v>792</v>
      </c>
      <c r="AL455">
        <v>42358</v>
      </c>
      <c r="AM455" t="s">
        <v>1037</v>
      </c>
    </row>
    <row r="456" spans="34:39" x14ac:dyDescent="0.3">
      <c r="AH456" s="13" t="s">
        <v>344</v>
      </c>
      <c r="AI456" s="13"/>
      <c r="AJ456" t="s">
        <v>793</v>
      </c>
      <c r="AK456" t="s">
        <v>238</v>
      </c>
      <c r="AL456">
        <v>41599</v>
      </c>
      <c r="AM456" t="s">
        <v>1045</v>
      </c>
    </row>
    <row r="457" spans="34:39" x14ac:dyDescent="0.3">
      <c r="AH457" s="13" t="s">
        <v>535</v>
      </c>
      <c r="AI457" s="13"/>
      <c r="AJ457" t="s">
        <v>794</v>
      </c>
      <c r="AK457" t="s">
        <v>514</v>
      </c>
      <c r="AL457">
        <v>40710.455555555556</v>
      </c>
      <c r="AM457" t="s">
        <v>1044</v>
      </c>
    </row>
    <row r="458" spans="34:39" x14ac:dyDescent="0.3">
      <c r="AH458" s="13" t="s">
        <v>396</v>
      </c>
      <c r="AI458" s="13"/>
      <c r="AJ458" t="s">
        <v>795</v>
      </c>
      <c r="AK458" t="s">
        <v>514</v>
      </c>
      <c r="AL458">
        <v>40856</v>
      </c>
      <c r="AM458" t="s">
        <v>1044</v>
      </c>
    </row>
    <row r="459" spans="34:39" x14ac:dyDescent="0.3">
      <c r="AH459" s="13" t="s">
        <v>356</v>
      </c>
      <c r="AI459" s="13"/>
      <c r="AJ459" t="s">
        <v>796</v>
      </c>
      <c r="AK459" t="s">
        <v>514</v>
      </c>
      <c r="AL459">
        <v>41442</v>
      </c>
      <c r="AM459" t="s">
        <v>1041</v>
      </c>
    </row>
    <row r="460" spans="34:39" x14ac:dyDescent="0.3">
      <c r="AH460" s="13" t="s">
        <v>254</v>
      </c>
      <c r="AI460" s="13"/>
      <c r="AJ460" t="s">
        <v>797</v>
      </c>
      <c r="AK460" t="s">
        <v>341</v>
      </c>
      <c r="AL460">
        <v>42826</v>
      </c>
      <c r="AM460" t="s">
        <v>1035</v>
      </c>
    </row>
    <row r="461" spans="34:39" x14ac:dyDescent="0.3">
      <c r="AH461" s="13" t="s">
        <v>447</v>
      </c>
      <c r="AI461" s="13"/>
      <c r="AJ461" t="s">
        <v>798</v>
      </c>
      <c r="AK461" t="s">
        <v>256</v>
      </c>
      <c r="AL461">
        <v>42110</v>
      </c>
      <c r="AM461" t="s">
        <v>1042</v>
      </c>
    </row>
    <row r="462" spans="34:39" x14ac:dyDescent="0.3">
      <c r="AH462" s="13" t="s">
        <v>305</v>
      </c>
      <c r="AI462" s="13"/>
      <c r="AJ462" t="s">
        <v>799</v>
      </c>
      <c r="AK462" t="s">
        <v>800</v>
      </c>
      <c r="AL462">
        <v>43373</v>
      </c>
      <c r="AM462" t="s">
        <v>1035</v>
      </c>
    </row>
    <row r="463" spans="34:39" x14ac:dyDescent="0.3">
      <c r="AH463" s="13" t="s">
        <v>782</v>
      </c>
      <c r="AI463" s="13"/>
      <c r="AJ463" t="s">
        <v>801</v>
      </c>
      <c r="AK463" t="s">
        <v>256</v>
      </c>
      <c r="AL463">
        <v>42125</v>
      </c>
      <c r="AM463" t="s">
        <v>1042</v>
      </c>
    </row>
    <row r="464" spans="34:39" x14ac:dyDescent="0.3">
      <c r="AH464" s="13" t="s">
        <v>473</v>
      </c>
      <c r="AI464" s="13"/>
      <c r="AJ464" t="s">
        <v>802</v>
      </c>
      <c r="AK464" t="s">
        <v>803</v>
      </c>
      <c r="AL464">
        <v>41264</v>
      </c>
      <c r="AM464" t="s">
        <v>1033</v>
      </c>
    </row>
    <row r="465" spans="34:39" x14ac:dyDescent="0.3">
      <c r="AH465" s="13" t="s">
        <v>253</v>
      </c>
      <c r="AI465" s="13"/>
      <c r="AJ465" t="s">
        <v>804</v>
      </c>
      <c r="AK465" t="s">
        <v>341</v>
      </c>
      <c r="AL465">
        <v>42137</v>
      </c>
      <c r="AM465" t="s">
        <v>1042</v>
      </c>
    </row>
    <row r="466" spans="34:39" x14ac:dyDescent="0.3">
      <c r="AH466" s="13" t="s">
        <v>339</v>
      </c>
      <c r="AI466" s="13"/>
      <c r="AJ466" t="s">
        <v>805</v>
      </c>
      <c r="AK466" t="s">
        <v>256</v>
      </c>
      <c r="AL466">
        <v>42140</v>
      </c>
      <c r="AM466" t="s">
        <v>1042</v>
      </c>
    </row>
    <row r="467" spans="34:39" x14ac:dyDescent="0.3">
      <c r="AH467" s="13" t="s">
        <v>294</v>
      </c>
      <c r="AI467" s="13"/>
      <c r="AJ467" t="s">
        <v>806</v>
      </c>
      <c r="AK467" t="s">
        <v>341</v>
      </c>
      <c r="AL467">
        <v>42369</v>
      </c>
      <c r="AM467" t="s">
        <v>1035</v>
      </c>
    </row>
    <row r="468" spans="34:39" x14ac:dyDescent="0.3">
      <c r="AH468" s="13" t="s">
        <v>763</v>
      </c>
      <c r="AI468" s="13"/>
      <c r="AJ468" t="s">
        <v>807</v>
      </c>
      <c r="AK468" t="s">
        <v>256</v>
      </c>
      <c r="AL468">
        <v>42141</v>
      </c>
      <c r="AM468" t="s">
        <v>1042</v>
      </c>
    </row>
    <row r="469" spans="34:39" x14ac:dyDescent="0.3">
      <c r="AH469" s="13" t="s">
        <v>1023</v>
      </c>
      <c r="AI469" s="13"/>
      <c r="AJ469" t="s">
        <v>808</v>
      </c>
      <c r="AK469" t="s">
        <v>809</v>
      </c>
      <c r="AL469">
        <v>41089</v>
      </c>
      <c r="AM469" t="s">
        <v>1033</v>
      </c>
    </row>
    <row r="470" spans="34:39" x14ac:dyDescent="0.3">
      <c r="AH470" s="13" t="s">
        <v>524</v>
      </c>
      <c r="AI470" s="13"/>
      <c r="AJ470" t="s">
        <v>810</v>
      </c>
      <c r="AK470" t="s">
        <v>256</v>
      </c>
      <c r="AL470">
        <v>42141</v>
      </c>
      <c r="AM470" t="s">
        <v>1042</v>
      </c>
    </row>
    <row r="471" spans="34:39" x14ac:dyDescent="0.3">
      <c r="AH471" s="13" t="s">
        <v>240</v>
      </c>
      <c r="AI471" s="13"/>
      <c r="AJ471" t="s">
        <v>811</v>
      </c>
      <c r="AK471" t="s">
        <v>256</v>
      </c>
      <c r="AL471">
        <v>42141</v>
      </c>
      <c r="AM471" t="s">
        <v>1042</v>
      </c>
    </row>
    <row r="472" spans="34:39" x14ac:dyDescent="0.3">
      <c r="AH472" s="13" t="s">
        <v>896</v>
      </c>
      <c r="AI472" s="13"/>
      <c r="AJ472" t="s">
        <v>812</v>
      </c>
      <c r="AK472" t="s">
        <v>256</v>
      </c>
      <c r="AL472">
        <v>42441</v>
      </c>
      <c r="AM472" t="s">
        <v>1039</v>
      </c>
    </row>
    <row r="473" spans="34:39" x14ac:dyDescent="0.3">
      <c r="AH473" s="13" t="s">
        <v>631</v>
      </c>
      <c r="AI473" s="13"/>
      <c r="AJ473" t="s">
        <v>813</v>
      </c>
      <c r="AK473" t="s">
        <v>350</v>
      </c>
      <c r="AL473">
        <v>41180</v>
      </c>
      <c r="AM473" t="s">
        <v>1033</v>
      </c>
    </row>
    <row r="474" spans="34:39" x14ac:dyDescent="0.3">
      <c r="AH474" s="13" t="s">
        <v>559</v>
      </c>
      <c r="AI474" s="13"/>
      <c r="AJ474" t="s">
        <v>814</v>
      </c>
      <c r="AK474" t="s">
        <v>256</v>
      </c>
      <c r="AL474">
        <v>42167</v>
      </c>
      <c r="AM474" t="s">
        <v>1042</v>
      </c>
    </row>
    <row r="475" spans="34:39" x14ac:dyDescent="0.3">
      <c r="AH475" s="13" t="s">
        <v>651</v>
      </c>
      <c r="AI475" s="13"/>
      <c r="AJ475" t="s">
        <v>815</v>
      </c>
      <c r="AK475" t="s">
        <v>256</v>
      </c>
      <c r="AL475">
        <v>43281</v>
      </c>
      <c r="AM475" t="s">
        <v>1036</v>
      </c>
    </row>
    <row r="476" spans="34:39" x14ac:dyDescent="0.3">
      <c r="AH476" s="13" t="s">
        <v>1008</v>
      </c>
      <c r="AI476" s="13"/>
      <c r="AJ476" t="s">
        <v>816</v>
      </c>
      <c r="AK476" t="s">
        <v>256</v>
      </c>
      <c r="AL476">
        <v>42171</v>
      </c>
      <c r="AM476" t="s">
        <v>1042</v>
      </c>
    </row>
    <row r="477" spans="34:39" x14ac:dyDescent="0.3">
      <c r="AH477" s="13" t="s">
        <v>772</v>
      </c>
      <c r="AI477" s="13"/>
      <c r="AJ477" t="s">
        <v>817</v>
      </c>
      <c r="AK477" t="s">
        <v>514</v>
      </c>
      <c r="AL477">
        <v>42544</v>
      </c>
      <c r="AM477" t="s">
        <v>1039</v>
      </c>
    </row>
    <row r="478" spans="34:39" x14ac:dyDescent="0.3">
      <c r="AH478" s="13" t="s">
        <v>536</v>
      </c>
      <c r="AI478" s="13"/>
      <c r="AJ478" t="s">
        <v>818</v>
      </c>
      <c r="AK478" t="s">
        <v>256</v>
      </c>
      <c r="AL478">
        <v>43545</v>
      </c>
      <c r="AM478" t="s">
        <v>1036</v>
      </c>
    </row>
    <row r="479" spans="34:39" x14ac:dyDescent="0.3">
      <c r="AH479" s="13" t="s">
        <v>545</v>
      </c>
      <c r="AI479" s="13"/>
      <c r="AJ479" t="s">
        <v>819</v>
      </c>
      <c r="AK479" t="s">
        <v>514</v>
      </c>
      <c r="AL479">
        <v>40138</v>
      </c>
      <c r="AM479" t="s">
        <v>1033</v>
      </c>
    </row>
    <row r="480" spans="34:39" x14ac:dyDescent="0.3">
      <c r="AH480" s="13" t="s">
        <v>951</v>
      </c>
      <c r="AI480" s="13"/>
      <c r="AJ480" t="s">
        <v>820</v>
      </c>
      <c r="AK480" t="s">
        <v>498</v>
      </c>
      <c r="AL480">
        <v>42634</v>
      </c>
      <c r="AM480" t="s">
        <v>1037</v>
      </c>
    </row>
    <row r="481" spans="34:39" x14ac:dyDescent="0.3">
      <c r="AH481" s="13" t="s">
        <v>1014</v>
      </c>
      <c r="AI481" s="13"/>
      <c r="AJ481" t="s">
        <v>821</v>
      </c>
      <c r="AK481" t="s">
        <v>822</v>
      </c>
      <c r="AL481">
        <v>42177</v>
      </c>
      <c r="AM481" t="s">
        <v>1043</v>
      </c>
    </row>
    <row r="482" spans="34:39" x14ac:dyDescent="0.3">
      <c r="AH482" s="13" t="s">
        <v>743</v>
      </c>
      <c r="AI482" s="13"/>
      <c r="AJ482" t="s">
        <v>823</v>
      </c>
      <c r="AK482" t="s">
        <v>256</v>
      </c>
      <c r="AL482">
        <v>42489</v>
      </c>
      <c r="AM482" t="s">
        <v>1039</v>
      </c>
    </row>
    <row r="483" spans="34:39" x14ac:dyDescent="0.3">
      <c r="AH483" s="13" t="s">
        <v>690</v>
      </c>
      <c r="AI483" s="13"/>
      <c r="AJ483" t="s">
        <v>824</v>
      </c>
      <c r="AK483" t="s">
        <v>256</v>
      </c>
      <c r="AL483">
        <v>42178</v>
      </c>
      <c r="AM483" t="s">
        <v>1042</v>
      </c>
    </row>
    <row r="484" spans="34:39" x14ac:dyDescent="0.3">
      <c r="AH484" s="13" t="s">
        <v>928</v>
      </c>
      <c r="AI484" s="13"/>
      <c r="AJ484" t="s">
        <v>825</v>
      </c>
      <c r="AK484" t="s">
        <v>256</v>
      </c>
      <c r="AL484">
        <v>42181</v>
      </c>
      <c r="AM484" t="s">
        <v>1042</v>
      </c>
    </row>
    <row r="485" spans="34:39" x14ac:dyDescent="0.3">
      <c r="AH485" s="13" t="s">
        <v>776</v>
      </c>
      <c r="AI485" s="13"/>
      <c r="AJ485" t="s">
        <v>826</v>
      </c>
      <c r="AK485" t="s">
        <v>282</v>
      </c>
      <c r="AL485">
        <v>43281</v>
      </c>
      <c r="AM485" t="s">
        <v>1036</v>
      </c>
    </row>
    <row r="486" spans="34:39" x14ac:dyDescent="0.3">
      <c r="AH486" s="13" t="s">
        <v>754</v>
      </c>
      <c r="AI486" s="13"/>
      <c r="AJ486" t="s">
        <v>827</v>
      </c>
      <c r="AK486" t="s">
        <v>256</v>
      </c>
      <c r="AL486">
        <v>42182</v>
      </c>
      <c r="AM486" t="s">
        <v>1042</v>
      </c>
    </row>
    <row r="487" spans="34:39" x14ac:dyDescent="0.3">
      <c r="AH487" s="13" t="s">
        <v>663</v>
      </c>
      <c r="AI487" s="13"/>
      <c r="AJ487" t="s">
        <v>828</v>
      </c>
      <c r="AK487" t="s">
        <v>256</v>
      </c>
      <c r="AL487">
        <v>42188</v>
      </c>
      <c r="AM487" t="s">
        <v>1042</v>
      </c>
    </row>
    <row r="488" spans="34:39" x14ac:dyDescent="0.3">
      <c r="AH488" s="13" t="s">
        <v>465</v>
      </c>
      <c r="AI488" s="13"/>
      <c r="AJ488" t="s">
        <v>829</v>
      </c>
      <c r="AK488" t="s">
        <v>256</v>
      </c>
      <c r="AL488">
        <v>42460</v>
      </c>
      <c r="AM488" t="s">
        <v>1039</v>
      </c>
    </row>
    <row r="489" spans="34:39" x14ac:dyDescent="0.3">
      <c r="AH489" s="13" t="s">
        <v>750</v>
      </c>
      <c r="AI489" s="13"/>
      <c r="AJ489" t="s">
        <v>830</v>
      </c>
      <c r="AK489" t="s">
        <v>514</v>
      </c>
      <c r="AL489">
        <v>40815</v>
      </c>
      <c r="AM489" t="s">
        <v>1044</v>
      </c>
    </row>
    <row r="490" spans="34:39" x14ac:dyDescent="0.3">
      <c r="AH490" s="13" t="s">
        <v>717</v>
      </c>
      <c r="AI490" s="13"/>
      <c r="AJ490" t="s">
        <v>831</v>
      </c>
      <c r="AK490" t="s">
        <v>341</v>
      </c>
      <c r="AL490">
        <v>42209</v>
      </c>
      <c r="AM490" t="s">
        <v>1042</v>
      </c>
    </row>
    <row r="491" spans="34:39" x14ac:dyDescent="0.3">
      <c r="AH491" s="13" t="s">
        <v>481</v>
      </c>
      <c r="AI491" s="13"/>
      <c r="AJ491" t="s">
        <v>832</v>
      </c>
      <c r="AK491" t="s">
        <v>833</v>
      </c>
      <c r="AL491">
        <v>41544</v>
      </c>
      <c r="AM491" t="s">
        <v>1037</v>
      </c>
    </row>
    <row r="492" spans="34:39" x14ac:dyDescent="0.3">
      <c r="AH492" s="13" t="s">
        <v>642</v>
      </c>
      <c r="AI492" s="13"/>
      <c r="AJ492" t="s">
        <v>834</v>
      </c>
      <c r="AK492" t="s">
        <v>256</v>
      </c>
      <c r="AL492">
        <v>42353</v>
      </c>
      <c r="AM492" t="s">
        <v>1039</v>
      </c>
    </row>
    <row r="493" spans="34:39" x14ac:dyDescent="0.3">
      <c r="AH493" s="13" t="s">
        <v>982</v>
      </c>
      <c r="AI493" s="13"/>
      <c r="AJ493" t="s">
        <v>835</v>
      </c>
      <c r="AK493" t="s">
        <v>514</v>
      </c>
      <c r="AL493">
        <v>42420</v>
      </c>
      <c r="AM493" t="s">
        <v>1039</v>
      </c>
    </row>
    <row r="494" spans="34:39" x14ac:dyDescent="0.3">
      <c r="AH494" s="13" t="s">
        <v>355</v>
      </c>
      <c r="AI494" s="13"/>
      <c r="AJ494" t="s">
        <v>836</v>
      </c>
      <c r="AK494" t="s">
        <v>837</v>
      </c>
      <c r="AL494">
        <v>41463</v>
      </c>
      <c r="AM494" t="s">
        <v>1033</v>
      </c>
    </row>
    <row r="495" spans="34:39" x14ac:dyDescent="0.3">
      <c r="AH495" s="13" t="s">
        <v>327</v>
      </c>
      <c r="AI495" s="13"/>
      <c r="AJ495" t="s">
        <v>838</v>
      </c>
      <c r="AK495" t="s">
        <v>341</v>
      </c>
      <c r="AL495">
        <v>42600</v>
      </c>
      <c r="AM495" t="s">
        <v>1035</v>
      </c>
    </row>
    <row r="496" spans="34:39" x14ac:dyDescent="0.3">
      <c r="AH496" s="13" t="s">
        <v>383</v>
      </c>
      <c r="AI496" s="13"/>
      <c r="AJ496" t="s">
        <v>839</v>
      </c>
      <c r="AK496" t="s">
        <v>256</v>
      </c>
      <c r="AL496">
        <v>42197</v>
      </c>
      <c r="AM496" t="s">
        <v>1042</v>
      </c>
    </row>
    <row r="497" spans="34:39" x14ac:dyDescent="0.3">
      <c r="AH497" s="13" t="s">
        <v>424</v>
      </c>
      <c r="AI497" s="13"/>
      <c r="AJ497" t="s">
        <v>840</v>
      </c>
      <c r="AK497" t="s">
        <v>514</v>
      </c>
      <c r="AL497">
        <v>42277</v>
      </c>
      <c r="AM497" t="s">
        <v>1039</v>
      </c>
    </row>
    <row r="498" spans="34:39" x14ac:dyDescent="0.3">
      <c r="AH498" s="13" t="s">
        <v>386</v>
      </c>
      <c r="AI498" s="13"/>
      <c r="AJ498" t="s">
        <v>841</v>
      </c>
      <c r="AK498" t="s">
        <v>341</v>
      </c>
      <c r="AL498">
        <v>42263</v>
      </c>
      <c r="AM498" t="s">
        <v>1042</v>
      </c>
    </row>
    <row r="499" spans="34:39" x14ac:dyDescent="0.3">
      <c r="AH499" s="13" t="s">
        <v>430</v>
      </c>
      <c r="AI499" s="13"/>
      <c r="AJ499" t="s">
        <v>842</v>
      </c>
      <c r="AK499" t="s">
        <v>514</v>
      </c>
      <c r="AL499">
        <v>40542.517361111109</v>
      </c>
      <c r="AM499" t="s">
        <v>1044</v>
      </c>
    </row>
    <row r="500" spans="34:39" x14ac:dyDescent="0.3">
      <c r="AH500" s="13" t="s">
        <v>611</v>
      </c>
      <c r="AI500" s="13"/>
      <c r="AJ500" t="s">
        <v>843</v>
      </c>
      <c r="AK500" t="s">
        <v>256</v>
      </c>
      <c r="AL500">
        <v>42593</v>
      </c>
      <c r="AM500" t="s">
        <v>1039</v>
      </c>
    </row>
    <row r="501" spans="34:39" x14ac:dyDescent="0.3">
      <c r="AH501" s="13" t="s">
        <v>497</v>
      </c>
      <c r="AI501" s="13"/>
      <c r="AJ501" t="s">
        <v>844</v>
      </c>
      <c r="AK501" t="s">
        <v>514</v>
      </c>
      <c r="AL501">
        <v>42277</v>
      </c>
      <c r="AM501" t="s">
        <v>1039</v>
      </c>
    </row>
    <row r="502" spans="34:39" x14ac:dyDescent="0.3">
      <c r="AH502" s="13" t="s">
        <v>820</v>
      </c>
      <c r="AI502" s="13"/>
      <c r="AJ502" t="s">
        <v>845</v>
      </c>
      <c r="AK502" t="s">
        <v>514</v>
      </c>
      <c r="AL502">
        <v>41711</v>
      </c>
      <c r="AM502" t="s">
        <v>1033</v>
      </c>
    </row>
    <row r="503" spans="34:39" x14ac:dyDescent="0.3">
      <c r="AH503" s="13" t="s">
        <v>658</v>
      </c>
      <c r="AI503" s="13"/>
      <c r="AJ503" t="s">
        <v>846</v>
      </c>
      <c r="AK503" t="s">
        <v>256</v>
      </c>
      <c r="AL503">
        <v>42307</v>
      </c>
      <c r="AM503" t="s">
        <v>1039</v>
      </c>
    </row>
    <row r="504" spans="34:39" x14ac:dyDescent="0.3">
      <c r="AH504" s="13" t="s">
        <v>887</v>
      </c>
      <c r="AI504" s="13"/>
      <c r="AJ504" t="s">
        <v>847</v>
      </c>
      <c r="AK504" t="s">
        <v>256</v>
      </c>
      <c r="AL504">
        <v>42307</v>
      </c>
      <c r="AM504" t="s">
        <v>1039</v>
      </c>
    </row>
    <row r="505" spans="34:39" x14ac:dyDescent="0.3">
      <c r="AH505" s="13" t="s">
        <v>297</v>
      </c>
      <c r="AI505" s="13"/>
      <c r="AJ505" t="s">
        <v>848</v>
      </c>
      <c r="AK505" t="s">
        <v>310</v>
      </c>
      <c r="AL505">
        <v>43088</v>
      </c>
      <c r="AM505" t="s">
        <v>1036</v>
      </c>
    </row>
    <row r="506" spans="34:39" x14ac:dyDescent="0.3">
      <c r="AH506" s="13" t="s">
        <v>289</v>
      </c>
      <c r="AI506" s="13"/>
      <c r="AJ506" t="s">
        <v>849</v>
      </c>
      <c r="AK506" t="s">
        <v>256</v>
      </c>
      <c r="AL506">
        <v>42518</v>
      </c>
      <c r="AM506" t="s">
        <v>1039</v>
      </c>
    </row>
    <row r="507" spans="34:39" x14ac:dyDescent="0.3">
      <c r="AH507" s="13" t="s">
        <v>296</v>
      </c>
      <c r="AI507" s="13"/>
      <c r="AJ507" t="s">
        <v>850</v>
      </c>
      <c r="AK507" t="s">
        <v>609</v>
      </c>
      <c r="AL507">
        <v>43554</v>
      </c>
      <c r="AM507" t="s">
        <v>1036</v>
      </c>
    </row>
    <row r="508" spans="34:39" x14ac:dyDescent="0.3">
      <c r="AH508" s="13" t="s">
        <v>295</v>
      </c>
      <c r="AI508" s="13"/>
      <c r="AJ508" t="s">
        <v>851</v>
      </c>
      <c r="AK508" t="s">
        <v>514</v>
      </c>
      <c r="AL508">
        <v>42308</v>
      </c>
      <c r="AM508" t="s">
        <v>1039</v>
      </c>
    </row>
    <row r="509" spans="34:39" x14ac:dyDescent="0.3">
      <c r="AH509" s="13" t="s">
        <v>532</v>
      </c>
      <c r="AI509" s="13"/>
      <c r="AJ509" t="s">
        <v>852</v>
      </c>
      <c r="AK509" t="s">
        <v>517</v>
      </c>
      <c r="AL509">
        <v>41816</v>
      </c>
      <c r="AM509" t="s">
        <v>1040</v>
      </c>
    </row>
    <row r="510" spans="34:39" x14ac:dyDescent="0.3">
      <c r="AH510" s="13" t="s">
        <v>459</v>
      </c>
      <c r="AI510" s="13"/>
      <c r="AJ510" t="s">
        <v>853</v>
      </c>
      <c r="AK510" t="s">
        <v>514</v>
      </c>
      <c r="AL510">
        <v>42308</v>
      </c>
      <c r="AM510" t="s">
        <v>1039</v>
      </c>
    </row>
    <row r="511" spans="34:39" x14ac:dyDescent="0.3">
      <c r="AH511" s="13" t="s">
        <v>879</v>
      </c>
      <c r="AI511" s="13"/>
      <c r="AJ511" t="s">
        <v>854</v>
      </c>
      <c r="AK511" t="s">
        <v>256</v>
      </c>
      <c r="AL511">
        <v>42321</v>
      </c>
      <c r="AM511" t="s">
        <v>1042</v>
      </c>
    </row>
    <row r="512" spans="34:39" x14ac:dyDescent="0.3">
      <c r="AH512" s="13" t="s">
        <v>1015</v>
      </c>
      <c r="AI512" s="13"/>
      <c r="AJ512" t="s">
        <v>855</v>
      </c>
      <c r="AK512" t="s">
        <v>655</v>
      </c>
      <c r="AL512">
        <v>43266</v>
      </c>
      <c r="AM512" t="s">
        <v>1035</v>
      </c>
    </row>
    <row r="513" spans="34:39" x14ac:dyDescent="0.3">
      <c r="AH513" s="13" t="s">
        <v>311</v>
      </c>
      <c r="AI513" s="13"/>
      <c r="AJ513" t="s">
        <v>856</v>
      </c>
      <c r="AK513" t="s">
        <v>341</v>
      </c>
      <c r="AL513">
        <v>42545</v>
      </c>
      <c r="AM513" t="s">
        <v>1035</v>
      </c>
    </row>
    <row r="514" spans="34:39" x14ac:dyDescent="0.3">
      <c r="AH514" s="13" t="s">
        <v>848</v>
      </c>
      <c r="AI514" s="13"/>
      <c r="AJ514" t="s">
        <v>857</v>
      </c>
      <c r="AK514" t="s">
        <v>858</v>
      </c>
      <c r="AL514">
        <v>43475</v>
      </c>
      <c r="AM514" t="s">
        <v>1036</v>
      </c>
    </row>
    <row r="515" spans="34:39" x14ac:dyDescent="0.3">
      <c r="AH515" s="13" t="s">
        <v>646</v>
      </c>
      <c r="AI515" s="13"/>
      <c r="AJ515" t="s">
        <v>859</v>
      </c>
      <c r="AK515" t="s">
        <v>256</v>
      </c>
      <c r="AL515">
        <v>42339</v>
      </c>
      <c r="AM515" t="s">
        <v>1039</v>
      </c>
    </row>
    <row r="516" spans="34:39" x14ac:dyDescent="0.3">
      <c r="AH516" s="13" t="s">
        <v>315</v>
      </c>
      <c r="AI516" s="13"/>
      <c r="AJ516" t="s">
        <v>860</v>
      </c>
      <c r="AK516" t="s">
        <v>256</v>
      </c>
      <c r="AL516">
        <v>42335</v>
      </c>
      <c r="AM516" t="s">
        <v>1042</v>
      </c>
    </row>
    <row r="517" spans="34:39" x14ac:dyDescent="0.3">
      <c r="AH517" s="13" t="s">
        <v>309</v>
      </c>
      <c r="AI517" s="13"/>
      <c r="AJ517" t="s">
        <v>861</v>
      </c>
      <c r="AK517" t="s">
        <v>256</v>
      </c>
      <c r="AL517">
        <v>42361</v>
      </c>
      <c r="AM517" t="s">
        <v>1039</v>
      </c>
    </row>
    <row r="518" spans="34:39" x14ac:dyDescent="0.3">
      <c r="AH518" s="13" t="s">
        <v>458</v>
      </c>
      <c r="AI518" s="13"/>
      <c r="AJ518" t="s">
        <v>862</v>
      </c>
      <c r="AK518" t="s">
        <v>510</v>
      </c>
      <c r="AL518">
        <v>41264</v>
      </c>
      <c r="AM518" t="s">
        <v>1033</v>
      </c>
    </row>
    <row r="519" spans="34:39" x14ac:dyDescent="0.3">
      <c r="AH519" s="13" t="s">
        <v>998</v>
      </c>
      <c r="AI519" s="13"/>
      <c r="AJ519" t="s">
        <v>863</v>
      </c>
      <c r="AK519" t="s">
        <v>261</v>
      </c>
      <c r="AL519">
        <v>42369</v>
      </c>
      <c r="AM519" t="s">
        <v>1033</v>
      </c>
    </row>
    <row r="520" spans="34:39" x14ac:dyDescent="0.3">
      <c r="AH520" s="13" t="s">
        <v>298</v>
      </c>
      <c r="AI520" s="13"/>
      <c r="AJ520" t="s">
        <v>864</v>
      </c>
      <c r="AK520" t="s">
        <v>865</v>
      </c>
      <c r="AL520">
        <v>42530</v>
      </c>
      <c r="AM520" t="s">
        <v>1039</v>
      </c>
    </row>
    <row r="521" spans="34:39" x14ac:dyDescent="0.3">
      <c r="AH521" s="13" t="s">
        <v>926</v>
      </c>
      <c r="AI521" s="13"/>
      <c r="AJ521" t="s">
        <v>866</v>
      </c>
      <c r="AK521" t="s">
        <v>514</v>
      </c>
      <c r="AL521">
        <v>42570</v>
      </c>
      <c r="AM521" t="s">
        <v>1039</v>
      </c>
    </row>
    <row r="522" spans="34:39" x14ac:dyDescent="0.3">
      <c r="AH522" s="13" t="s">
        <v>450</v>
      </c>
      <c r="AI522" s="13"/>
      <c r="AJ522" t="s">
        <v>867</v>
      </c>
      <c r="AK522" t="s">
        <v>256</v>
      </c>
      <c r="AL522">
        <v>42437</v>
      </c>
      <c r="AM522" t="s">
        <v>1039</v>
      </c>
    </row>
    <row r="523" spans="34:39" x14ac:dyDescent="0.3">
      <c r="AH523" s="13" t="s">
        <v>647</v>
      </c>
      <c r="AI523" s="13"/>
      <c r="AJ523" t="s">
        <v>868</v>
      </c>
      <c r="AK523" t="s">
        <v>256</v>
      </c>
      <c r="AL523">
        <v>42398</v>
      </c>
      <c r="AM523" t="s">
        <v>1039</v>
      </c>
    </row>
    <row r="524" spans="34:39" x14ac:dyDescent="0.3">
      <c r="AH524" s="13" t="s">
        <v>633</v>
      </c>
      <c r="AI524" s="13"/>
      <c r="AJ524" t="s">
        <v>869</v>
      </c>
      <c r="AK524" t="s">
        <v>256</v>
      </c>
      <c r="AL524">
        <v>42348</v>
      </c>
      <c r="AM524" t="s">
        <v>1039</v>
      </c>
    </row>
    <row r="525" spans="34:39" x14ac:dyDescent="0.3">
      <c r="AH525" s="13" t="s">
        <v>758</v>
      </c>
      <c r="AI525" s="13"/>
      <c r="AJ525" t="s">
        <v>870</v>
      </c>
      <c r="AK525" t="s">
        <v>443</v>
      </c>
      <c r="AL525">
        <v>42003</v>
      </c>
      <c r="AM525" t="s">
        <v>1037</v>
      </c>
    </row>
    <row r="526" spans="34:39" x14ac:dyDescent="0.3">
      <c r="AH526" s="13" t="s">
        <v>687</v>
      </c>
      <c r="AI526" s="13"/>
      <c r="AJ526" t="s">
        <v>871</v>
      </c>
      <c r="AK526" t="s">
        <v>872</v>
      </c>
      <c r="AL526">
        <v>42355</v>
      </c>
      <c r="AM526" t="s">
        <v>1037</v>
      </c>
    </row>
    <row r="527" spans="34:39" x14ac:dyDescent="0.3">
      <c r="AH527" s="13" t="s">
        <v>881</v>
      </c>
      <c r="AI527" s="13"/>
      <c r="AJ527" t="s">
        <v>873</v>
      </c>
      <c r="AK527" t="s">
        <v>256</v>
      </c>
      <c r="AL527">
        <v>43280</v>
      </c>
      <c r="AM527" t="s">
        <v>1036</v>
      </c>
    </row>
    <row r="528" spans="34:39" x14ac:dyDescent="0.3">
      <c r="AH528" s="13" t="s">
        <v>412</v>
      </c>
      <c r="AI528" s="13"/>
      <c r="AJ528" t="s">
        <v>874</v>
      </c>
      <c r="AK528" t="s">
        <v>341</v>
      </c>
      <c r="AL528">
        <v>42369</v>
      </c>
      <c r="AM528" t="s">
        <v>1035</v>
      </c>
    </row>
    <row r="529" spans="34:39" x14ac:dyDescent="0.3">
      <c r="AH529" s="13" t="s">
        <v>521</v>
      </c>
      <c r="AI529" s="13"/>
      <c r="AJ529" t="s">
        <v>875</v>
      </c>
      <c r="AK529" t="s">
        <v>361</v>
      </c>
      <c r="AL529">
        <v>42674</v>
      </c>
      <c r="AM529" t="s">
        <v>1039</v>
      </c>
    </row>
    <row r="530" spans="34:39" x14ac:dyDescent="0.3">
      <c r="AH530" s="13" t="s">
        <v>966</v>
      </c>
      <c r="AI530" s="13"/>
      <c r="AJ530" t="s">
        <v>876</v>
      </c>
      <c r="AK530" t="s">
        <v>341</v>
      </c>
      <c r="AL530">
        <v>42369</v>
      </c>
      <c r="AM530" t="s">
        <v>1035</v>
      </c>
    </row>
    <row r="531" spans="34:39" x14ac:dyDescent="0.3">
      <c r="AH531" s="13" t="s">
        <v>483</v>
      </c>
      <c r="AI531" s="13"/>
      <c r="AJ531" t="s">
        <v>877</v>
      </c>
      <c r="AK531" t="s">
        <v>878</v>
      </c>
      <c r="AL531">
        <v>42369</v>
      </c>
      <c r="AM531" t="s">
        <v>1033</v>
      </c>
    </row>
    <row r="532" spans="34:39" x14ac:dyDescent="0.3">
      <c r="AH532" s="13" t="s">
        <v>414</v>
      </c>
      <c r="AI532" s="13"/>
      <c r="AJ532" t="s">
        <v>879</v>
      </c>
      <c r="AK532" t="s">
        <v>310</v>
      </c>
      <c r="AL532">
        <v>42490</v>
      </c>
      <c r="AM532" t="s">
        <v>1033</v>
      </c>
    </row>
    <row r="533" spans="34:39" x14ac:dyDescent="0.3">
      <c r="AH533" s="13" t="s">
        <v>556</v>
      </c>
      <c r="AI533" s="13"/>
      <c r="AJ533" t="s">
        <v>880</v>
      </c>
      <c r="AK533" t="s">
        <v>858</v>
      </c>
      <c r="AL533">
        <v>43475</v>
      </c>
      <c r="AM533" t="s">
        <v>1036</v>
      </c>
    </row>
    <row r="534" spans="34:39" x14ac:dyDescent="0.3">
      <c r="AH534" s="13" t="s">
        <v>397</v>
      </c>
      <c r="AI534" s="13"/>
      <c r="AJ534" t="s">
        <v>881</v>
      </c>
      <c r="AK534" t="s">
        <v>413</v>
      </c>
      <c r="AL534">
        <v>43369</v>
      </c>
      <c r="AM534" t="s">
        <v>1040</v>
      </c>
    </row>
    <row r="535" spans="34:39" x14ac:dyDescent="0.3">
      <c r="AH535" s="13" t="s">
        <v>789</v>
      </c>
      <c r="AI535" s="13"/>
      <c r="AJ535" t="s">
        <v>882</v>
      </c>
      <c r="AK535" t="s">
        <v>256</v>
      </c>
      <c r="AL535">
        <v>42322</v>
      </c>
      <c r="AM535" t="s">
        <v>1039</v>
      </c>
    </row>
    <row r="536" spans="34:39" x14ac:dyDescent="0.3">
      <c r="AH536" s="13" t="s">
        <v>267</v>
      </c>
      <c r="AI536" s="13"/>
      <c r="AJ536" t="s">
        <v>883</v>
      </c>
      <c r="AK536" t="s">
        <v>256</v>
      </c>
      <c r="AL536">
        <v>42369</v>
      </c>
      <c r="AM536" t="s">
        <v>1039</v>
      </c>
    </row>
    <row r="537" spans="34:39" x14ac:dyDescent="0.3">
      <c r="AH537" s="13" t="s">
        <v>682</v>
      </c>
      <c r="AI537" s="13"/>
      <c r="AJ537" t="s">
        <v>884</v>
      </c>
      <c r="AK537" t="s">
        <v>256</v>
      </c>
      <c r="AL537">
        <v>42369</v>
      </c>
      <c r="AM537" t="s">
        <v>1042</v>
      </c>
    </row>
    <row r="538" spans="34:39" x14ac:dyDescent="0.3">
      <c r="AH538" s="13" t="s">
        <v>239</v>
      </c>
      <c r="AI538" s="13"/>
      <c r="AJ538" t="s">
        <v>885</v>
      </c>
      <c r="AK538" t="s">
        <v>256</v>
      </c>
      <c r="AL538">
        <v>42385</v>
      </c>
      <c r="AM538" t="s">
        <v>1039</v>
      </c>
    </row>
    <row r="539" spans="34:39" x14ac:dyDescent="0.3">
      <c r="AH539" s="13" t="s">
        <v>411</v>
      </c>
      <c r="AI539" s="13"/>
      <c r="AJ539" t="s">
        <v>886</v>
      </c>
      <c r="AK539" t="s">
        <v>256</v>
      </c>
      <c r="AL539">
        <v>42550</v>
      </c>
      <c r="AM539" t="s">
        <v>1039</v>
      </c>
    </row>
    <row r="540" spans="34:39" x14ac:dyDescent="0.3">
      <c r="AH540" s="13" t="s">
        <v>251</v>
      </c>
      <c r="AI540" s="13"/>
      <c r="AJ540" t="s">
        <v>887</v>
      </c>
      <c r="AK540" t="s">
        <v>888</v>
      </c>
      <c r="AL540">
        <v>40772</v>
      </c>
      <c r="AM540" t="s">
        <v>1033</v>
      </c>
    </row>
    <row r="541" spans="34:39" x14ac:dyDescent="0.3">
      <c r="AH541" s="13" t="s">
        <v>243</v>
      </c>
      <c r="AI541" s="13"/>
      <c r="AJ541" t="s">
        <v>889</v>
      </c>
      <c r="AK541" t="s">
        <v>514</v>
      </c>
      <c r="AL541">
        <v>41340</v>
      </c>
      <c r="AM541" t="s">
        <v>1041</v>
      </c>
    </row>
    <row r="542" spans="34:39" x14ac:dyDescent="0.3">
      <c r="AH542" s="13" t="s">
        <v>242</v>
      </c>
      <c r="AI542" s="13"/>
      <c r="AJ542" t="s">
        <v>890</v>
      </c>
      <c r="AK542" t="s">
        <v>256</v>
      </c>
      <c r="AL542">
        <v>42426</v>
      </c>
      <c r="AM542" t="s">
        <v>1039</v>
      </c>
    </row>
    <row r="543" spans="34:39" x14ac:dyDescent="0.3">
      <c r="AH543" s="13" t="s">
        <v>237</v>
      </c>
      <c r="AI543" s="13"/>
      <c r="AJ543" t="s">
        <v>891</v>
      </c>
      <c r="AK543" t="s">
        <v>609</v>
      </c>
      <c r="AL543">
        <v>42404</v>
      </c>
      <c r="AM543" t="s">
        <v>1039</v>
      </c>
    </row>
    <row r="544" spans="34:39" x14ac:dyDescent="0.3">
      <c r="AH544" s="13" t="s">
        <v>948</v>
      </c>
      <c r="AI544" s="13"/>
      <c r="AJ544" t="s">
        <v>892</v>
      </c>
      <c r="AK544" t="s">
        <v>514</v>
      </c>
      <c r="AL544">
        <v>42399</v>
      </c>
      <c r="AM544" t="s">
        <v>1039</v>
      </c>
    </row>
    <row r="545" spans="34:39" x14ac:dyDescent="0.3">
      <c r="AH545" s="13" t="s">
        <v>919</v>
      </c>
      <c r="AI545" s="13"/>
      <c r="AJ545" t="s">
        <v>893</v>
      </c>
      <c r="AK545" t="s">
        <v>341</v>
      </c>
      <c r="AL545">
        <v>42402</v>
      </c>
      <c r="AM545" t="s">
        <v>1035</v>
      </c>
    </row>
    <row r="546" spans="34:39" x14ac:dyDescent="0.3">
      <c r="AH546" s="13" t="s">
        <v>912</v>
      </c>
      <c r="AI546" s="13"/>
      <c r="AJ546" t="s">
        <v>894</v>
      </c>
      <c r="AK546" t="s">
        <v>256</v>
      </c>
      <c r="AL546">
        <v>42414</v>
      </c>
      <c r="AM546" t="s">
        <v>1039</v>
      </c>
    </row>
    <row r="547" spans="34:39" x14ac:dyDescent="0.3">
      <c r="AH547" s="13" t="s">
        <v>538</v>
      </c>
      <c r="AI547" s="13"/>
      <c r="AJ547" t="s">
        <v>895</v>
      </c>
      <c r="AK547" t="s">
        <v>256</v>
      </c>
      <c r="AL547">
        <v>42433</v>
      </c>
      <c r="AM547" t="s">
        <v>1042</v>
      </c>
    </row>
    <row r="548" spans="34:39" x14ac:dyDescent="0.3">
      <c r="AH548" s="13" t="s">
        <v>766</v>
      </c>
      <c r="AI548" s="13"/>
      <c r="AJ548" t="s">
        <v>896</v>
      </c>
      <c r="AK548" t="s">
        <v>241</v>
      </c>
      <c r="AL548">
        <v>42642</v>
      </c>
      <c r="AM548" t="s">
        <v>1039</v>
      </c>
    </row>
    <row r="549" spans="34:39" x14ac:dyDescent="0.3">
      <c r="AH549" s="13" t="s">
        <v>595</v>
      </c>
      <c r="AI549" s="13"/>
      <c r="AJ549" t="s">
        <v>897</v>
      </c>
      <c r="AK549" t="s">
        <v>256</v>
      </c>
      <c r="AL549">
        <v>42437</v>
      </c>
      <c r="AM549" t="s">
        <v>1039</v>
      </c>
    </row>
    <row r="550" spans="34:39" x14ac:dyDescent="0.3">
      <c r="AH550" s="13" t="s">
        <v>793</v>
      </c>
      <c r="AI550" s="13"/>
      <c r="AJ550" t="s">
        <v>898</v>
      </c>
      <c r="AK550" t="s">
        <v>256</v>
      </c>
      <c r="AL550">
        <v>43341</v>
      </c>
      <c r="AM550" t="s">
        <v>1036</v>
      </c>
    </row>
    <row r="551" spans="34:39" x14ac:dyDescent="0.3">
      <c r="AH551" s="13" t="s">
        <v>901</v>
      </c>
      <c r="AI551" s="13"/>
      <c r="AJ551" t="s">
        <v>899</v>
      </c>
      <c r="AK551" t="s">
        <v>514</v>
      </c>
      <c r="AL551">
        <v>42569</v>
      </c>
      <c r="AM551" t="s">
        <v>1039</v>
      </c>
    </row>
    <row r="552" spans="34:39" x14ac:dyDescent="0.3">
      <c r="AH552" s="13" t="s">
        <v>248</v>
      </c>
      <c r="AI552" s="13"/>
      <c r="AJ552" t="s">
        <v>900</v>
      </c>
      <c r="AK552" t="s">
        <v>256</v>
      </c>
      <c r="AL552">
        <v>42439</v>
      </c>
      <c r="AM552" t="s">
        <v>1042</v>
      </c>
    </row>
    <row r="553" spans="34:39" x14ac:dyDescent="0.3">
      <c r="AH553" s="13" t="s">
        <v>781</v>
      </c>
      <c r="AI553" s="13"/>
      <c r="AJ553" t="s">
        <v>901</v>
      </c>
      <c r="AK553" t="s">
        <v>902</v>
      </c>
      <c r="AL553">
        <v>43393</v>
      </c>
      <c r="AM553" t="s">
        <v>1035</v>
      </c>
    </row>
    <row r="554" spans="34:39" x14ac:dyDescent="0.3">
      <c r="AH554" s="13" t="s">
        <v>922</v>
      </c>
      <c r="AI554" s="13"/>
      <c r="AJ554" t="s">
        <v>903</v>
      </c>
      <c r="AK554" t="s">
        <v>514</v>
      </c>
      <c r="AL554">
        <v>40607.968055555553</v>
      </c>
      <c r="AM554" t="s">
        <v>1044</v>
      </c>
    </row>
    <row r="555" spans="34:39" x14ac:dyDescent="0.3">
      <c r="AH555" s="13" t="s">
        <v>509</v>
      </c>
      <c r="AI555" s="13"/>
      <c r="AJ555" t="s">
        <v>904</v>
      </c>
      <c r="AK555" t="s">
        <v>905</v>
      </c>
      <c r="AL555">
        <v>42435</v>
      </c>
      <c r="AM555" t="s">
        <v>1040</v>
      </c>
    </row>
    <row r="556" spans="34:39" x14ac:dyDescent="0.3">
      <c r="AH556" s="13" t="s">
        <v>862</v>
      </c>
      <c r="AI556" s="13"/>
      <c r="AJ556" t="s">
        <v>906</v>
      </c>
      <c r="AK556" t="s">
        <v>256</v>
      </c>
      <c r="AL556">
        <v>41815</v>
      </c>
      <c r="AM556" t="s">
        <v>1037</v>
      </c>
    </row>
    <row r="557" spans="34:39" x14ac:dyDescent="0.3">
      <c r="AH557" s="13" t="s">
        <v>610</v>
      </c>
      <c r="AI557" s="13"/>
      <c r="AJ557" t="s">
        <v>907</v>
      </c>
      <c r="AK557" t="s">
        <v>514</v>
      </c>
      <c r="AL557">
        <v>42441</v>
      </c>
      <c r="AM557" t="s">
        <v>1039</v>
      </c>
    </row>
    <row r="558" spans="34:39" x14ac:dyDescent="0.3">
      <c r="AH558" s="13" t="s">
        <v>637</v>
      </c>
      <c r="AI558" s="13"/>
      <c r="AJ558" t="s">
        <v>908</v>
      </c>
      <c r="AK558" t="s">
        <v>256</v>
      </c>
      <c r="AL558">
        <v>42442</v>
      </c>
      <c r="AM558" t="s">
        <v>1042</v>
      </c>
    </row>
    <row r="559" spans="34:39" x14ac:dyDescent="0.3">
      <c r="AH559" s="13" t="s">
        <v>598</v>
      </c>
      <c r="AI559" s="13"/>
      <c r="AJ559" t="s">
        <v>909</v>
      </c>
      <c r="AK559" t="s">
        <v>261</v>
      </c>
      <c r="AL559">
        <v>43280</v>
      </c>
      <c r="AM559" t="s">
        <v>1033</v>
      </c>
    </row>
    <row r="560" spans="34:39" x14ac:dyDescent="0.3">
      <c r="AH560" s="13" t="s">
        <v>574</v>
      </c>
      <c r="AI560" s="13"/>
      <c r="AJ560" t="s">
        <v>910</v>
      </c>
      <c r="AK560" t="s">
        <v>341</v>
      </c>
      <c r="AL560">
        <v>42827</v>
      </c>
      <c r="AM560" t="s">
        <v>1035</v>
      </c>
    </row>
    <row r="561" spans="34:39" x14ac:dyDescent="0.3">
      <c r="AH561" s="13" t="s">
        <v>527</v>
      </c>
      <c r="AI561" s="13"/>
      <c r="AJ561" t="s">
        <v>911</v>
      </c>
      <c r="AK561" t="s">
        <v>341</v>
      </c>
      <c r="AL561">
        <v>42643</v>
      </c>
      <c r="AM561" t="s">
        <v>1035</v>
      </c>
    </row>
    <row r="562" spans="34:39" x14ac:dyDescent="0.3">
      <c r="AH562" s="13" t="s">
        <v>716</v>
      </c>
      <c r="AI562" s="13"/>
      <c r="AJ562" t="s">
        <v>912</v>
      </c>
      <c r="AK562" t="s">
        <v>238</v>
      </c>
      <c r="AL562">
        <v>43638</v>
      </c>
      <c r="AM562" t="s">
        <v>1034</v>
      </c>
    </row>
    <row r="563" spans="34:39" x14ac:dyDescent="0.3">
      <c r="AH563" s="13" t="s">
        <v>516</v>
      </c>
      <c r="AI563" s="13"/>
      <c r="AJ563" t="s">
        <v>913</v>
      </c>
      <c r="AK563" t="s">
        <v>487</v>
      </c>
      <c r="AL563">
        <v>41547</v>
      </c>
      <c r="AM563" t="s">
        <v>1033</v>
      </c>
    </row>
    <row r="564" spans="34:39" x14ac:dyDescent="0.3">
      <c r="AH564" s="13" t="s">
        <v>774</v>
      </c>
      <c r="AI564" s="13"/>
      <c r="AJ564" t="s">
        <v>914</v>
      </c>
      <c r="AK564" t="s">
        <v>256</v>
      </c>
      <c r="AL564">
        <v>42171</v>
      </c>
      <c r="AM564" t="s">
        <v>1042</v>
      </c>
    </row>
    <row r="565" spans="34:39" x14ac:dyDescent="0.3">
      <c r="AH565" s="13" t="s">
        <v>852</v>
      </c>
      <c r="AI565" s="13"/>
      <c r="AJ565" t="s">
        <v>915</v>
      </c>
      <c r="AK565" t="s">
        <v>256</v>
      </c>
      <c r="AL565">
        <v>42447</v>
      </c>
      <c r="AM565" t="s">
        <v>1042</v>
      </c>
    </row>
    <row r="566" spans="34:39" x14ac:dyDescent="0.3">
      <c r="AH566" s="13" t="s">
        <v>540</v>
      </c>
      <c r="AI566" s="13"/>
      <c r="AJ566" t="s">
        <v>916</v>
      </c>
      <c r="AK566" t="s">
        <v>361</v>
      </c>
      <c r="AL566">
        <v>43373</v>
      </c>
      <c r="AM566" t="s">
        <v>1036</v>
      </c>
    </row>
    <row r="567" spans="34:39" x14ac:dyDescent="0.3">
      <c r="AH567" s="13" t="s">
        <v>273</v>
      </c>
      <c r="AI567" s="13"/>
      <c r="AJ567" t="s">
        <v>917</v>
      </c>
      <c r="AK567" t="s">
        <v>350</v>
      </c>
      <c r="AL567">
        <v>41380</v>
      </c>
      <c r="AM567" t="s">
        <v>1033</v>
      </c>
    </row>
    <row r="568" spans="34:39" x14ac:dyDescent="0.3">
      <c r="AH568" s="13" t="s">
        <v>278</v>
      </c>
      <c r="AI568" s="13"/>
      <c r="AJ568" t="s">
        <v>918</v>
      </c>
      <c r="AK568" t="s">
        <v>256</v>
      </c>
      <c r="AL568">
        <v>42437</v>
      </c>
      <c r="AM568" t="s">
        <v>1039</v>
      </c>
    </row>
    <row r="569" spans="34:39" x14ac:dyDescent="0.3">
      <c r="AH569" s="13" t="s">
        <v>323</v>
      </c>
      <c r="AI569" s="13"/>
      <c r="AJ569" t="s">
        <v>919</v>
      </c>
      <c r="AK569" t="s">
        <v>238</v>
      </c>
      <c r="AL569">
        <v>43640</v>
      </c>
      <c r="AM569" t="s">
        <v>1034</v>
      </c>
    </row>
    <row r="570" spans="34:39" x14ac:dyDescent="0.3">
      <c r="AH570" s="13" t="s">
        <v>306</v>
      </c>
      <c r="AI570" s="13"/>
      <c r="AJ570" t="s">
        <v>920</v>
      </c>
      <c r="AK570" t="s">
        <v>256</v>
      </c>
      <c r="AL570">
        <v>42448</v>
      </c>
      <c r="AM570" t="s">
        <v>1039</v>
      </c>
    </row>
    <row r="571" spans="34:39" x14ac:dyDescent="0.3">
      <c r="AH571" s="13" t="s">
        <v>723</v>
      </c>
      <c r="AI571" s="13"/>
      <c r="AJ571" t="s">
        <v>921</v>
      </c>
      <c r="AK571" t="s">
        <v>822</v>
      </c>
      <c r="AL571">
        <v>42449</v>
      </c>
      <c r="AM571" t="s">
        <v>1042</v>
      </c>
    </row>
    <row r="572" spans="34:39" x14ac:dyDescent="0.3">
      <c r="AH572" s="13" t="s">
        <v>652</v>
      </c>
      <c r="AI572" s="13"/>
      <c r="AJ572" t="s">
        <v>922</v>
      </c>
      <c r="AK572" t="s">
        <v>510</v>
      </c>
      <c r="AL572">
        <v>41088</v>
      </c>
      <c r="AM572" t="s">
        <v>1033</v>
      </c>
    </row>
    <row r="573" spans="34:39" x14ac:dyDescent="0.3">
      <c r="AH573" s="13" t="s">
        <v>664</v>
      </c>
      <c r="AI573" s="13"/>
      <c r="AJ573" t="s">
        <v>923</v>
      </c>
      <c r="AK573" t="s">
        <v>256</v>
      </c>
      <c r="AL573">
        <v>42405</v>
      </c>
      <c r="AM573" t="s">
        <v>1039</v>
      </c>
    </row>
    <row r="574" spans="34:39" x14ac:dyDescent="0.3">
      <c r="AH574" s="13" t="s">
        <v>235</v>
      </c>
      <c r="AI574" s="13"/>
      <c r="AJ574" t="s">
        <v>924</v>
      </c>
      <c r="AK574" t="s">
        <v>822</v>
      </c>
      <c r="AL574">
        <v>42449</v>
      </c>
      <c r="AM574" t="s">
        <v>1042</v>
      </c>
    </row>
    <row r="575" spans="34:39" x14ac:dyDescent="0.3">
      <c r="AH575" s="13" t="s">
        <v>409</v>
      </c>
      <c r="AI575" s="13"/>
      <c r="AJ575" t="s">
        <v>925</v>
      </c>
      <c r="AK575" t="s">
        <v>256</v>
      </c>
      <c r="AL575">
        <v>42448</v>
      </c>
      <c r="AM575" t="s">
        <v>1042</v>
      </c>
    </row>
    <row r="576" spans="34:39" x14ac:dyDescent="0.3">
      <c r="AH576" s="13" t="s">
        <v>346</v>
      </c>
      <c r="AI576" s="13"/>
      <c r="AJ576" t="s">
        <v>926</v>
      </c>
      <c r="AK576" t="s">
        <v>927</v>
      </c>
      <c r="AL576">
        <v>42377</v>
      </c>
      <c r="AM576" t="s">
        <v>1033</v>
      </c>
    </row>
    <row r="577" spans="34:39" x14ac:dyDescent="0.3">
      <c r="AH577" s="13" t="s">
        <v>679</v>
      </c>
      <c r="AI577" s="13"/>
      <c r="AJ577" t="s">
        <v>928</v>
      </c>
      <c r="AK577" t="s">
        <v>929</v>
      </c>
      <c r="AL577">
        <v>42491</v>
      </c>
      <c r="AM577" t="s">
        <v>1037</v>
      </c>
    </row>
    <row r="578" spans="34:39" x14ac:dyDescent="0.3">
      <c r="AH578" s="13" t="s">
        <v>332</v>
      </c>
      <c r="AI578" s="13"/>
      <c r="AJ578" t="s">
        <v>930</v>
      </c>
      <c r="AK578" t="s">
        <v>341</v>
      </c>
      <c r="AL578">
        <v>42456</v>
      </c>
      <c r="AM578" t="s">
        <v>1035</v>
      </c>
    </row>
    <row r="579" spans="34:39" x14ac:dyDescent="0.3">
      <c r="AH579" s="13" t="s">
        <v>329</v>
      </c>
      <c r="AI579" s="13"/>
      <c r="AJ579" t="s">
        <v>931</v>
      </c>
      <c r="AK579" t="s">
        <v>256</v>
      </c>
      <c r="AL579">
        <v>42734</v>
      </c>
      <c r="AM579" t="s">
        <v>1039</v>
      </c>
    </row>
    <row r="580" spans="34:39" x14ac:dyDescent="0.3">
      <c r="AH580" s="13" t="s">
        <v>265</v>
      </c>
      <c r="AI580" s="13"/>
      <c r="AJ580" t="s">
        <v>932</v>
      </c>
      <c r="AK580" t="s">
        <v>487</v>
      </c>
      <c r="AL580">
        <v>41547</v>
      </c>
      <c r="AM580" t="s">
        <v>1033</v>
      </c>
    </row>
    <row r="581" spans="34:39" x14ac:dyDescent="0.3">
      <c r="AH581" s="13" t="s">
        <v>325</v>
      </c>
      <c r="AI581" s="13"/>
      <c r="AJ581" t="s">
        <v>933</v>
      </c>
      <c r="AK581" t="s">
        <v>405</v>
      </c>
      <c r="AL581">
        <v>42666</v>
      </c>
      <c r="AM581" t="s">
        <v>1033</v>
      </c>
    </row>
    <row r="582" spans="34:39" x14ac:dyDescent="0.3">
      <c r="AH582" s="13" t="s">
        <v>562</v>
      </c>
      <c r="AI582" s="13"/>
      <c r="AJ582" t="s">
        <v>934</v>
      </c>
      <c r="AK582" t="s">
        <v>256</v>
      </c>
      <c r="AL582">
        <v>42460</v>
      </c>
      <c r="AM582" t="s">
        <v>1039</v>
      </c>
    </row>
    <row r="583" spans="34:39" x14ac:dyDescent="0.3">
      <c r="AH583" s="13" t="s">
        <v>434</v>
      </c>
      <c r="AI583" s="13"/>
      <c r="AJ583" t="s">
        <v>935</v>
      </c>
      <c r="AK583" t="s">
        <v>514</v>
      </c>
      <c r="AL583">
        <v>41724</v>
      </c>
      <c r="AM583" t="s">
        <v>1033</v>
      </c>
    </row>
    <row r="584" spans="34:39" x14ac:dyDescent="0.3">
      <c r="AH584" s="13" t="s">
        <v>596</v>
      </c>
      <c r="AI584" s="13"/>
      <c r="AJ584" t="s">
        <v>936</v>
      </c>
      <c r="AK584" t="s">
        <v>256</v>
      </c>
      <c r="AL584">
        <v>42458</v>
      </c>
      <c r="AM584" t="s">
        <v>1039</v>
      </c>
    </row>
    <row r="585" spans="34:39" x14ac:dyDescent="0.3">
      <c r="AH585" s="13" t="s">
        <v>732</v>
      </c>
      <c r="AI585" s="13"/>
      <c r="AJ585" t="s">
        <v>937</v>
      </c>
      <c r="AK585" t="s">
        <v>256</v>
      </c>
      <c r="AL585">
        <v>42460</v>
      </c>
      <c r="AM585" t="s">
        <v>1039</v>
      </c>
    </row>
    <row r="586" spans="34:39" x14ac:dyDescent="0.3">
      <c r="AH586" s="13" t="s">
        <v>904</v>
      </c>
      <c r="AI586" s="13"/>
      <c r="AJ586" t="s">
        <v>938</v>
      </c>
      <c r="AK586" t="s">
        <v>514</v>
      </c>
      <c r="AL586">
        <v>42570</v>
      </c>
      <c r="AM586" t="s">
        <v>1039</v>
      </c>
    </row>
    <row r="587" spans="34:39" x14ac:dyDescent="0.3">
      <c r="AH587" s="13" t="s">
        <v>501</v>
      </c>
      <c r="AI587" s="13"/>
      <c r="AJ587" t="s">
        <v>939</v>
      </c>
      <c r="AK587" t="s">
        <v>341</v>
      </c>
      <c r="AL587">
        <v>42868</v>
      </c>
      <c r="AM587" t="s">
        <v>1035</v>
      </c>
    </row>
    <row r="588" spans="34:39" x14ac:dyDescent="0.3">
      <c r="AH588" s="13" t="s">
        <v>636</v>
      </c>
      <c r="AI588" s="13"/>
      <c r="AJ588" t="s">
        <v>940</v>
      </c>
      <c r="AK588" t="s">
        <v>256</v>
      </c>
      <c r="AL588">
        <v>41959</v>
      </c>
      <c r="AM588" t="s">
        <v>1042</v>
      </c>
    </row>
    <row r="589" spans="34:39" x14ac:dyDescent="0.3">
      <c r="AH589" s="13" t="s">
        <v>489</v>
      </c>
      <c r="AI589" s="13"/>
      <c r="AJ589" t="s">
        <v>941</v>
      </c>
      <c r="AK589" t="s">
        <v>256</v>
      </c>
      <c r="AL589">
        <v>42458</v>
      </c>
      <c r="AM589" t="s">
        <v>1039</v>
      </c>
    </row>
    <row r="590" spans="34:39" x14ac:dyDescent="0.3">
      <c r="AH590" s="13" t="s">
        <v>342</v>
      </c>
      <c r="AI590" s="13"/>
      <c r="AJ590" t="s">
        <v>942</v>
      </c>
      <c r="AK590" t="s">
        <v>256</v>
      </c>
      <c r="AL590">
        <v>42460</v>
      </c>
      <c r="AM590" t="s">
        <v>1039</v>
      </c>
    </row>
    <row r="591" spans="34:39" x14ac:dyDescent="0.3">
      <c r="AH591" s="13" t="s">
        <v>264</v>
      </c>
      <c r="AI591" s="13"/>
      <c r="AJ591" t="s">
        <v>943</v>
      </c>
      <c r="AK591" t="s">
        <v>256</v>
      </c>
      <c r="AL591">
        <v>42458</v>
      </c>
      <c r="AM591" t="s">
        <v>1039</v>
      </c>
    </row>
    <row r="592" spans="34:39" x14ac:dyDescent="0.3">
      <c r="AH592" s="13" t="s">
        <v>262</v>
      </c>
      <c r="AI592" s="13"/>
      <c r="AJ592" t="s">
        <v>944</v>
      </c>
      <c r="AK592" t="s">
        <v>514</v>
      </c>
      <c r="AL592">
        <v>42540</v>
      </c>
      <c r="AM592" t="s">
        <v>1039</v>
      </c>
    </row>
    <row r="593" spans="34:39" x14ac:dyDescent="0.3">
      <c r="AH593" s="13" t="s">
        <v>768</v>
      </c>
      <c r="AI593" s="13"/>
      <c r="AJ593" t="s">
        <v>945</v>
      </c>
      <c r="AK593" t="s">
        <v>256</v>
      </c>
      <c r="AL593">
        <v>42629</v>
      </c>
      <c r="AM593" t="s">
        <v>1039</v>
      </c>
    </row>
    <row r="594" spans="34:39" x14ac:dyDescent="0.3">
      <c r="AH594" s="13" t="s">
        <v>293</v>
      </c>
      <c r="AI594" s="13"/>
      <c r="AJ594" t="s">
        <v>946</v>
      </c>
      <c r="AK594" t="s">
        <v>514</v>
      </c>
      <c r="AL594">
        <v>42460</v>
      </c>
      <c r="AM594" t="s">
        <v>1039</v>
      </c>
    </row>
    <row r="595" spans="34:39" x14ac:dyDescent="0.3">
      <c r="AH595" s="13" t="s">
        <v>992</v>
      </c>
      <c r="AI595" s="13"/>
      <c r="AJ595" t="s">
        <v>947</v>
      </c>
      <c r="AK595" t="s">
        <v>514</v>
      </c>
      <c r="AL595">
        <v>42460</v>
      </c>
      <c r="AM595" t="s">
        <v>1039</v>
      </c>
    </row>
    <row r="596" spans="34:39" x14ac:dyDescent="0.3">
      <c r="AH596" s="13" t="s">
        <v>244</v>
      </c>
      <c r="AI596" s="13"/>
      <c r="AJ596" t="s">
        <v>948</v>
      </c>
      <c r="AK596" t="s">
        <v>238</v>
      </c>
      <c r="AL596">
        <v>43638</v>
      </c>
      <c r="AM596" t="s">
        <v>1034</v>
      </c>
    </row>
    <row r="597" spans="34:39" x14ac:dyDescent="0.3">
      <c r="AH597" s="13" t="s">
        <v>495</v>
      </c>
      <c r="AI597" s="13"/>
      <c r="AJ597" t="s">
        <v>949</v>
      </c>
      <c r="AK597" t="s">
        <v>256</v>
      </c>
      <c r="AL597">
        <v>42914</v>
      </c>
      <c r="AM597" t="s">
        <v>1036</v>
      </c>
    </row>
    <row r="598" spans="34:39" x14ac:dyDescent="0.3">
      <c r="AH598" s="13" t="s">
        <v>399</v>
      </c>
      <c r="AI598" s="13"/>
      <c r="AJ598" t="s">
        <v>950</v>
      </c>
      <c r="AK598" t="s">
        <v>256</v>
      </c>
      <c r="AL598">
        <v>42637</v>
      </c>
      <c r="AM598" t="s">
        <v>1039</v>
      </c>
    </row>
    <row r="599" spans="34:39" x14ac:dyDescent="0.3">
      <c r="AH599" s="13" t="s">
        <v>612</v>
      </c>
      <c r="AI599" s="13"/>
      <c r="AJ599" t="s">
        <v>951</v>
      </c>
      <c r="AK599" t="s">
        <v>546</v>
      </c>
      <c r="AL599">
        <v>43372</v>
      </c>
      <c r="AM599" t="s">
        <v>1040</v>
      </c>
    </row>
    <row r="600" spans="34:39" x14ac:dyDescent="0.3">
      <c r="AH600" s="13" t="s">
        <v>784</v>
      </c>
      <c r="AI600" s="13"/>
      <c r="AJ600" t="s">
        <v>952</v>
      </c>
      <c r="AK600" t="s">
        <v>256</v>
      </c>
      <c r="AL600">
        <v>42474</v>
      </c>
      <c r="AM600" t="s">
        <v>1039</v>
      </c>
    </row>
    <row r="601" spans="34:39" x14ac:dyDescent="0.3">
      <c r="AH601" s="13" t="s">
        <v>660</v>
      </c>
      <c r="AI601" s="13"/>
      <c r="AJ601" t="s">
        <v>953</v>
      </c>
      <c r="AK601" t="s">
        <v>282</v>
      </c>
      <c r="AL601">
        <v>43421</v>
      </c>
      <c r="AM601" t="s">
        <v>1036</v>
      </c>
    </row>
    <row r="602" spans="34:39" x14ac:dyDescent="0.3">
      <c r="AH602" s="13" t="s">
        <v>587</v>
      </c>
      <c r="AI602" s="13"/>
      <c r="AJ602" t="s">
        <v>954</v>
      </c>
      <c r="AK602" t="s">
        <v>361</v>
      </c>
      <c r="AL602">
        <v>42735</v>
      </c>
      <c r="AM602" t="s">
        <v>1039</v>
      </c>
    </row>
    <row r="603" spans="34:39" x14ac:dyDescent="0.3">
      <c r="AH603" s="13" t="s">
        <v>819</v>
      </c>
      <c r="AI603" s="13"/>
      <c r="AJ603" t="s">
        <v>955</v>
      </c>
      <c r="AK603" t="s">
        <v>256</v>
      </c>
      <c r="AL603">
        <v>42481</v>
      </c>
      <c r="AM603" t="s">
        <v>1039</v>
      </c>
    </row>
    <row r="604" spans="34:39" x14ac:dyDescent="0.3">
      <c r="AH604" s="13" t="s">
        <v>710</v>
      </c>
      <c r="AI604" s="13"/>
      <c r="AJ604" t="s">
        <v>956</v>
      </c>
      <c r="AK604" t="s">
        <v>256</v>
      </c>
      <c r="AL604">
        <v>42489</v>
      </c>
      <c r="AM604" t="s">
        <v>1039</v>
      </c>
    </row>
    <row r="605" spans="34:39" x14ac:dyDescent="0.3">
      <c r="AH605" s="13" t="s">
        <v>903</v>
      </c>
      <c r="AI605" s="13"/>
      <c r="AJ605" t="s">
        <v>957</v>
      </c>
      <c r="AK605" t="s">
        <v>341</v>
      </c>
      <c r="AL605">
        <v>42489</v>
      </c>
      <c r="AM605" t="s">
        <v>1035</v>
      </c>
    </row>
    <row r="606" spans="34:39" x14ac:dyDescent="0.3">
      <c r="AH606" s="13" t="s">
        <v>794</v>
      </c>
      <c r="AI606" s="13"/>
      <c r="AJ606" t="s">
        <v>958</v>
      </c>
      <c r="AK606" t="s">
        <v>256</v>
      </c>
      <c r="AL606">
        <v>42510</v>
      </c>
      <c r="AM606" t="s">
        <v>1039</v>
      </c>
    </row>
    <row r="607" spans="34:39" x14ac:dyDescent="0.3">
      <c r="AH607" s="13" t="s">
        <v>795</v>
      </c>
      <c r="AI607" s="13"/>
      <c r="AJ607" t="s">
        <v>959</v>
      </c>
      <c r="AK607" t="s">
        <v>514</v>
      </c>
      <c r="AL607">
        <v>41586</v>
      </c>
      <c r="AM607" t="s">
        <v>1041</v>
      </c>
    </row>
    <row r="608" spans="34:39" x14ac:dyDescent="0.3">
      <c r="AH608" s="13" t="s">
        <v>830</v>
      </c>
      <c r="AI608" s="13"/>
      <c r="AJ608" t="s">
        <v>960</v>
      </c>
      <c r="AK608" t="s">
        <v>514</v>
      </c>
      <c r="AL608">
        <v>42564</v>
      </c>
      <c r="AM608" t="s">
        <v>1039</v>
      </c>
    </row>
    <row r="609" spans="34:39" x14ac:dyDescent="0.3">
      <c r="AH609" s="13" t="s">
        <v>531</v>
      </c>
      <c r="AI609" s="13"/>
      <c r="AJ609" t="s">
        <v>961</v>
      </c>
      <c r="AK609" t="s">
        <v>341</v>
      </c>
      <c r="AL609">
        <v>42533</v>
      </c>
      <c r="AM609" t="s">
        <v>1035</v>
      </c>
    </row>
    <row r="610" spans="34:39" x14ac:dyDescent="0.3">
      <c r="AH610" s="13" t="s">
        <v>590</v>
      </c>
      <c r="AI610" s="13"/>
      <c r="AJ610" t="s">
        <v>962</v>
      </c>
      <c r="AK610" t="s">
        <v>256</v>
      </c>
      <c r="AL610">
        <v>42517</v>
      </c>
      <c r="AM610" t="s">
        <v>1039</v>
      </c>
    </row>
    <row r="611" spans="34:39" x14ac:dyDescent="0.3">
      <c r="AH611" s="13" t="s">
        <v>626</v>
      </c>
      <c r="AI611" s="13"/>
      <c r="AJ611" t="s">
        <v>963</v>
      </c>
      <c r="AK611" t="s">
        <v>487</v>
      </c>
      <c r="AL611">
        <v>41547</v>
      </c>
      <c r="AM611" t="s">
        <v>1033</v>
      </c>
    </row>
    <row r="612" spans="34:39" x14ac:dyDescent="0.3">
      <c r="AH612" s="13" t="s">
        <v>796</v>
      </c>
      <c r="AI612" s="13"/>
      <c r="AJ612" t="s">
        <v>964</v>
      </c>
      <c r="AK612" t="s">
        <v>341</v>
      </c>
      <c r="AL612">
        <v>42543</v>
      </c>
      <c r="AM612" t="s">
        <v>1035</v>
      </c>
    </row>
    <row r="613" spans="34:39" x14ac:dyDescent="0.3">
      <c r="AH613" s="13" t="s">
        <v>744</v>
      </c>
      <c r="AI613" s="13"/>
      <c r="AJ613" t="s">
        <v>965</v>
      </c>
      <c r="AK613" t="s">
        <v>514</v>
      </c>
      <c r="AL613">
        <v>42538</v>
      </c>
      <c r="AM613" t="s">
        <v>1039</v>
      </c>
    </row>
    <row r="614" spans="34:39" x14ac:dyDescent="0.3">
      <c r="AH614" s="13" t="s">
        <v>771</v>
      </c>
      <c r="AI614" s="13"/>
      <c r="AJ614" t="s">
        <v>966</v>
      </c>
      <c r="AK614" t="s">
        <v>413</v>
      </c>
      <c r="AL614">
        <v>42899</v>
      </c>
      <c r="AM614" t="s">
        <v>1040</v>
      </c>
    </row>
    <row r="615" spans="34:39" x14ac:dyDescent="0.3">
      <c r="AH615" s="13" t="s">
        <v>733</v>
      </c>
      <c r="AI615" s="13"/>
      <c r="AJ615" t="s">
        <v>967</v>
      </c>
      <c r="AK615" t="s">
        <v>256</v>
      </c>
      <c r="AL615">
        <v>42539</v>
      </c>
      <c r="AM615" t="s">
        <v>1039</v>
      </c>
    </row>
    <row r="616" spans="34:39" x14ac:dyDescent="0.3">
      <c r="AH616" s="13" t="s">
        <v>570</v>
      </c>
      <c r="AI616" s="13"/>
      <c r="AJ616" t="s">
        <v>968</v>
      </c>
      <c r="AK616" t="s">
        <v>256</v>
      </c>
      <c r="AL616">
        <v>42539</v>
      </c>
      <c r="AM616" t="s">
        <v>1039</v>
      </c>
    </row>
    <row r="617" spans="34:39" x14ac:dyDescent="0.3">
      <c r="AH617" s="13" t="s">
        <v>592</v>
      </c>
      <c r="AI617" s="13"/>
      <c r="AJ617" t="s">
        <v>969</v>
      </c>
      <c r="AK617" t="s">
        <v>256</v>
      </c>
      <c r="AL617">
        <v>42866</v>
      </c>
      <c r="AM617" t="s">
        <v>1036</v>
      </c>
    </row>
    <row r="618" spans="34:39" x14ac:dyDescent="0.3">
      <c r="AH618" s="13" t="s">
        <v>513</v>
      </c>
      <c r="AI618" s="13"/>
      <c r="AJ618" t="s">
        <v>970</v>
      </c>
      <c r="AK618" t="s">
        <v>341</v>
      </c>
      <c r="AL618">
        <v>41912</v>
      </c>
      <c r="AM618" t="s">
        <v>1042</v>
      </c>
    </row>
    <row r="619" spans="34:39" x14ac:dyDescent="0.3">
      <c r="AH619" s="13" t="s">
        <v>889</v>
      </c>
      <c r="AI619" s="13"/>
      <c r="AJ619" t="s">
        <v>971</v>
      </c>
      <c r="AK619" t="s">
        <v>256</v>
      </c>
      <c r="AL619">
        <v>42539</v>
      </c>
      <c r="AM619" t="s">
        <v>1039</v>
      </c>
    </row>
    <row r="620" spans="34:39" x14ac:dyDescent="0.3">
      <c r="AH620" s="13" t="s">
        <v>551</v>
      </c>
      <c r="AI620" s="13"/>
      <c r="AJ620" t="s">
        <v>972</v>
      </c>
      <c r="AK620" t="s">
        <v>256</v>
      </c>
      <c r="AL620">
        <v>41945</v>
      </c>
      <c r="AM620" t="s">
        <v>1042</v>
      </c>
    </row>
    <row r="621" spans="34:39" x14ac:dyDescent="0.3">
      <c r="AH621" s="13" t="s">
        <v>564</v>
      </c>
      <c r="AI621" s="13"/>
      <c r="AJ621" t="s">
        <v>973</v>
      </c>
      <c r="AK621" t="s">
        <v>514</v>
      </c>
      <c r="AL621">
        <v>42540</v>
      </c>
      <c r="AM621" t="s">
        <v>1039</v>
      </c>
    </row>
    <row r="622" spans="34:39" x14ac:dyDescent="0.3">
      <c r="AH622" s="13" t="s">
        <v>552</v>
      </c>
      <c r="AI622" s="13"/>
      <c r="AJ622" t="s">
        <v>974</v>
      </c>
      <c r="AK622" t="s">
        <v>256</v>
      </c>
      <c r="AL622">
        <v>42882</v>
      </c>
      <c r="AM622" t="s">
        <v>1036</v>
      </c>
    </row>
    <row r="623" spans="34:39" x14ac:dyDescent="0.3">
      <c r="AH623" s="13" t="s">
        <v>842</v>
      </c>
      <c r="AI623" s="13"/>
      <c r="AJ623" t="s">
        <v>975</v>
      </c>
      <c r="AK623" t="s">
        <v>514</v>
      </c>
      <c r="AL623">
        <v>42541</v>
      </c>
      <c r="AM623" t="s">
        <v>1039</v>
      </c>
    </row>
    <row r="624" spans="34:39" x14ac:dyDescent="0.3">
      <c r="AH624" s="13" t="s">
        <v>786</v>
      </c>
      <c r="AI624" s="13"/>
      <c r="AJ624" t="s">
        <v>976</v>
      </c>
      <c r="AK624" t="s">
        <v>256</v>
      </c>
      <c r="AL624">
        <v>42081</v>
      </c>
      <c r="AM624" t="s">
        <v>1042</v>
      </c>
    </row>
    <row r="625" spans="34:39" x14ac:dyDescent="0.3">
      <c r="AH625" s="13" t="s">
        <v>622</v>
      </c>
      <c r="AI625" s="13"/>
      <c r="AJ625" t="s">
        <v>977</v>
      </c>
      <c r="AK625" t="s">
        <v>609</v>
      </c>
      <c r="AL625">
        <v>42542</v>
      </c>
      <c r="AM625" t="s">
        <v>1039</v>
      </c>
    </row>
    <row r="626" spans="34:39" x14ac:dyDescent="0.3">
      <c r="AH626" s="13" t="s">
        <v>959</v>
      </c>
      <c r="AI626" s="13"/>
      <c r="AJ626" t="s">
        <v>978</v>
      </c>
      <c r="AK626" t="s">
        <v>514</v>
      </c>
      <c r="AL626">
        <v>42540</v>
      </c>
      <c r="AM626" t="s">
        <v>1039</v>
      </c>
    </row>
    <row r="627" spans="34:39" x14ac:dyDescent="0.3">
      <c r="AH627" s="13" t="s">
        <v>995</v>
      </c>
      <c r="AI627" s="13"/>
      <c r="AJ627" t="s">
        <v>979</v>
      </c>
      <c r="AK627" t="s">
        <v>238</v>
      </c>
      <c r="AL627">
        <v>41078</v>
      </c>
      <c r="AM627" t="s">
        <v>1045</v>
      </c>
    </row>
    <row r="628" spans="34:39" x14ac:dyDescent="0.3">
      <c r="AH628" s="13" t="s">
        <v>935</v>
      </c>
      <c r="AI628" s="13"/>
      <c r="AJ628" t="s">
        <v>980</v>
      </c>
      <c r="AK628" t="s">
        <v>256</v>
      </c>
      <c r="AL628">
        <v>42549</v>
      </c>
      <c r="AM628" t="s">
        <v>1039</v>
      </c>
    </row>
    <row r="629" spans="34:39" x14ac:dyDescent="0.3">
      <c r="AH629" s="13" t="s">
        <v>845</v>
      </c>
      <c r="AI629" s="13"/>
      <c r="AJ629" t="s">
        <v>981</v>
      </c>
      <c r="AK629" t="s">
        <v>256</v>
      </c>
      <c r="AL629">
        <v>42576</v>
      </c>
      <c r="AM629" t="s">
        <v>1039</v>
      </c>
    </row>
    <row r="630" spans="34:39" x14ac:dyDescent="0.3">
      <c r="AH630" s="13" t="s">
        <v>662</v>
      </c>
      <c r="AI630" s="13"/>
      <c r="AJ630" t="s">
        <v>982</v>
      </c>
      <c r="AK630" t="s">
        <v>328</v>
      </c>
      <c r="AL630">
        <v>42734</v>
      </c>
      <c r="AM630" t="s">
        <v>1035</v>
      </c>
    </row>
    <row r="631" spans="34:39" x14ac:dyDescent="0.3">
      <c r="AH631" s="13" t="s">
        <v>578</v>
      </c>
      <c r="AI631" s="13"/>
      <c r="AJ631" t="s">
        <v>983</v>
      </c>
      <c r="AK631" t="s">
        <v>341</v>
      </c>
      <c r="AL631">
        <v>42551</v>
      </c>
      <c r="AM631" t="s">
        <v>1035</v>
      </c>
    </row>
    <row r="632" spans="34:39" x14ac:dyDescent="0.3">
      <c r="AH632" s="13" t="s">
        <v>1001</v>
      </c>
      <c r="AI632" s="13"/>
      <c r="AJ632" t="s">
        <v>984</v>
      </c>
      <c r="AK632" t="s">
        <v>985</v>
      </c>
      <c r="AL632">
        <v>42553</v>
      </c>
      <c r="AM632" t="s">
        <v>1035</v>
      </c>
    </row>
    <row r="633" spans="34:39" x14ac:dyDescent="0.3">
      <c r="AH633" s="13" t="s">
        <v>728</v>
      </c>
      <c r="AI633" s="13"/>
      <c r="AJ633" t="s">
        <v>986</v>
      </c>
      <c r="AK633" t="s">
        <v>256</v>
      </c>
      <c r="AL633">
        <v>42550</v>
      </c>
      <c r="AM633" t="s">
        <v>1039</v>
      </c>
    </row>
    <row r="634" spans="34:39" x14ac:dyDescent="0.3">
      <c r="AH634" s="13" t="s">
        <v>629</v>
      </c>
      <c r="AI634" s="13"/>
      <c r="AJ634" t="s">
        <v>987</v>
      </c>
      <c r="AK634" t="s">
        <v>341</v>
      </c>
      <c r="AL634">
        <v>42457</v>
      </c>
      <c r="AM634" t="s">
        <v>1035</v>
      </c>
    </row>
    <row r="635" spans="34:39" x14ac:dyDescent="0.3">
      <c r="AH635" s="13" t="s">
        <v>505</v>
      </c>
      <c r="AI635" s="13"/>
      <c r="AJ635" t="s">
        <v>988</v>
      </c>
      <c r="AK635" t="s">
        <v>256</v>
      </c>
      <c r="AL635">
        <v>42544</v>
      </c>
      <c r="AM635" t="s">
        <v>1039</v>
      </c>
    </row>
    <row r="636" spans="34:39" x14ac:dyDescent="0.3">
      <c r="AH636" s="13" t="s">
        <v>479</v>
      </c>
      <c r="AI636" s="13"/>
      <c r="AJ636" t="s">
        <v>989</v>
      </c>
      <c r="AK636" t="s">
        <v>256</v>
      </c>
      <c r="AL636">
        <v>42546</v>
      </c>
      <c r="AM636" t="s">
        <v>1039</v>
      </c>
    </row>
    <row r="637" spans="34:39" x14ac:dyDescent="0.3">
      <c r="AH637" s="13" t="s">
        <v>907</v>
      </c>
      <c r="AI637" s="13"/>
      <c r="AJ637" t="s">
        <v>990</v>
      </c>
      <c r="AK637" t="s">
        <v>514</v>
      </c>
      <c r="AL637">
        <v>42553</v>
      </c>
      <c r="AM637" t="s">
        <v>1039</v>
      </c>
    </row>
    <row r="638" spans="34:39" x14ac:dyDescent="0.3">
      <c r="AH638" s="13" t="s">
        <v>840</v>
      </c>
      <c r="AI638" s="13"/>
      <c r="AJ638" t="s">
        <v>991</v>
      </c>
      <c r="AK638" t="s">
        <v>256</v>
      </c>
      <c r="AL638">
        <v>42559</v>
      </c>
      <c r="AM638" t="s">
        <v>1039</v>
      </c>
    </row>
    <row r="639" spans="34:39" x14ac:dyDescent="0.3">
      <c r="AH639" s="13" t="s">
        <v>997</v>
      </c>
      <c r="AI639" s="13"/>
      <c r="AJ639" t="s">
        <v>992</v>
      </c>
      <c r="AK639" t="s">
        <v>245</v>
      </c>
      <c r="AL639">
        <v>43729</v>
      </c>
      <c r="AM639" t="s">
        <v>1036</v>
      </c>
    </row>
    <row r="640" spans="34:39" x14ac:dyDescent="0.3">
      <c r="AH640" s="13" t="s">
        <v>899</v>
      </c>
      <c r="AI640" s="13"/>
      <c r="AJ640" t="s">
        <v>993</v>
      </c>
      <c r="AK640" t="s">
        <v>994</v>
      </c>
      <c r="AL640">
        <v>40877</v>
      </c>
      <c r="AM640" t="s">
        <v>1033</v>
      </c>
    </row>
    <row r="641" spans="34:39" x14ac:dyDescent="0.3">
      <c r="AH641" s="13" t="s">
        <v>1000</v>
      </c>
      <c r="AI641" s="13"/>
      <c r="AJ641" t="s">
        <v>995</v>
      </c>
      <c r="AK641" t="s">
        <v>514</v>
      </c>
      <c r="AL641">
        <v>41347</v>
      </c>
      <c r="AM641" t="s">
        <v>1041</v>
      </c>
    </row>
    <row r="642" spans="34:39" x14ac:dyDescent="0.3">
      <c r="AH642" s="13" t="s">
        <v>938</v>
      </c>
      <c r="AI642" s="13"/>
      <c r="AJ642" t="s">
        <v>996</v>
      </c>
      <c r="AK642" t="s">
        <v>256</v>
      </c>
      <c r="AL642">
        <v>42569</v>
      </c>
      <c r="AM642" t="s">
        <v>1039</v>
      </c>
    </row>
    <row r="643" spans="34:39" x14ac:dyDescent="0.3">
      <c r="AH643" s="13" t="s">
        <v>844</v>
      </c>
      <c r="AI643" s="13"/>
      <c r="AJ643" t="s">
        <v>997</v>
      </c>
      <c r="AK643" t="s">
        <v>514</v>
      </c>
      <c r="AL643">
        <v>42569</v>
      </c>
      <c r="AM643" t="s">
        <v>1039</v>
      </c>
    </row>
    <row r="644" spans="34:39" x14ac:dyDescent="0.3">
      <c r="AH644" s="13" t="s">
        <v>965</v>
      </c>
      <c r="AI644" s="13"/>
      <c r="AJ644" t="s">
        <v>998</v>
      </c>
      <c r="AK644" t="s">
        <v>999</v>
      </c>
      <c r="AL644">
        <v>41524</v>
      </c>
      <c r="AM644" t="s">
        <v>1033</v>
      </c>
    </row>
    <row r="645" spans="34:39" x14ac:dyDescent="0.3">
      <c r="AH645" s="13" t="s">
        <v>946</v>
      </c>
      <c r="AI645" s="13"/>
      <c r="AJ645" t="s">
        <v>1000</v>
      </c>
      <c r="AK645" t="s">
        <v>514</v>
      </c>
      <c r="AL645">
        <v>42569</v>
      </c>
      <c r="AM645" t="s">
        <v>1039</v>
      </c>
    </row>
    <row r="646" spans="34:39" x14ac:dyDescent="0.3">
      <c r="AH646" s="13" t="s">
        <v>851</v>
      </c>
      <c r="AI646" s="13"/>
      <c r="AJ646" t="s">
        <v>1001</v>
      </c>
      <c r="AK646" t="s">
        <v>514</v>
      </c>
      <c r="AL646">
        <v>42185</v>
      </c>
      <c r="AM646" t="s">
        <v>1039</v>
      </c>
    </row>
    <row r="647" spans="34:39" x14ac:dyDescent="0.3">
      <c r="AH647" s="13" t="s">
        <v>707</v>
      </c>
      <c r="AI647" s="13"/>
      <c r="AJ647" t="s">
        <v>1002</v>
      </c>
      <c r="AK647" t="s">
        <v>256</v>
      </c>
      <c r="AL647">
        <v>42612</v>
      </c>
      <c r="AM647" t="s">
        <v>1039</v>
      </c>
    </row>
    <row r="648" spans="34:39" x14ac:dyDescent="0.3">
      <c r="AH648" s="13" t="s">
        <v>745</v>
      </c>
      <c r="AI648" s="13"/>
      <c r="AJ648" t="s">
        <v>1003</v>
      </c>
      <c r="AK648" t="s">
        <v>256</v>
      </c>
      <c r="AL648">
        <v>42624</v>
      </c>
      <c r="AM648" t="s">
        <v>1039</v>
      </c>
    </row>
    <row r="649" spans="34:39" x14ac:dyDescent="0.3">
      <c r="AH649" s="13" t="s">
        <v>817</v>
      </c>
      <c r="AI649" s="13"/>
      <c r="AJ649" t="s">
        <v>1004</v>
      </c>
      <c r="AK649" t="s">
        <v>256</v>
      </c>
      <c r="AL649">
        <v>42628</v>
      </c>
      <c r="AM649" t="s">
        <v>1039</v>
      </c>
    </row>
    <row r="650" spans="34:39" x14ac:dyDescent="0.3">
      <c r="AH650" s="13" t="s">
        <v>853</v>
      </c>
      <c r="AI650" s="13"/>
      <c r="AJ650" t="s">
        <v>1005</v>
      </c>
      <c r="AK650" t="s">
        <v>1006</v>
      </c>
      <c r="AL650">
        <v>42631</v>
      </c>
      <c r="AM650" t="s">
        <v>1035</v>
      </c>
    </row>
    <row r="651" spans="34:39" x14ac:dyDescent="0.3">
      <c r="AH651" s="13" t="s">
        <v>529</v>
      </c>
      <c r="AI651" s="13"/>
      <c r="AJ651" t="s">
        <v>1007</v>
      </c>
      <c r="AK651" t="s">
        <v>256</v>
      </c>
      <c r="AL651">
        <v>43281</v>
      </c>
      <c r="AM651" t="s">
        <v>1036</v>
      </c>
    </row>
    <row r="652" spans="34:39" x14ac:dyDescent="0.3">
      <c r="AH652" s="13" t="s">
        <v>947</v>
      </c>
      <c r="AI652" s="13"/>
      <c r="AJ652" t="s">
        <v>1008</v>
      </c>
      <c r="AK652" t="s">
        <v>241</v>
      </c>
      <c r="AL652">
        <v>42645</v>
      </c>
      <c r="AM652" t="s">
        <v>1039</v>
      </c>
    </row>
    <row r="653" spans="34:39" x14ac:dyDescent="0.3">
      <c r="AH653" s="13" t="s">
        <v>835</v>
      </c>
      <c r="AI653" s="13"/>
      <c r="AJ653" t="s">
        <v>1009</v>
      </c>
      <c r="AK653" t="s">
        <v>1010</v>
      </c>
      <c r="AL653">
        <v>43739</v>
      </c>
      <c r="AM653" t="s">
        <v>1032</v>
      </c>
    </row>
    <row r="654" spans="34:39" x14ac:dyDescent="0.3">
      <c r="AH654" s="13" t="s">
        <v>892</v>
      </c>
      <c r="AI654" s="13"/>
      <c r="AJ654" t="s">
        <v>1011</v>
      </c>
      <c r="AK654" t="s">
        <v>403</v>
      </c>
      <c r="AL654">
        <v>43007</v>
      </c>
      <c r="AM654" t="s">
        <v>1035</v>
      </c>
    </row>
    <row r="655" spans="34:39" x14ac:dyDescent="0.3">
      <c r="AH655" s="13" t="s">
        <v>960</v>
      </c>
      <c r="AI655" s="13"/>
      <c r="AJ655" t="s">
        <v>1012</v>
      </c>
      <c r="AK655" t="s">
        <v>341</v>
      </c>
      <c r="AL655">
        <v>42644</v>
      </c>
      <c r="AM655" t="s">
        <v>1035</v>
      </c>
    </row>
    <row r="656" spans="34:39" x14ac:dyDescent="0.3">
      <c r="AH656" s="13" t="s">
        <v>689</v>
      </c>
      <c r="AI656" s="13"/>
      <c r="AJ656" t="s">
        <v>1013</v>
      </c>
      <c r="AK656" t="s">
        <v>341</v>
      </c>
      <c r="AL656">
        <v>42644</v>
      </c>
      <c r="AM656" t="s">
        <v>1035</v>
      </c>
    </row>
    <row r="657" spans="34:39" x14ac:dyDescent="0.3">
      <c r="AH657" s="13" t="s">
        <v>607</v>
      </c>
      <c r="AI657" s="13"/>
      <c r="AJ657" t="s">
        <v>1014</v>
      </c>
      <c r="AK657" t="s">
        <v>546</v>
      </c>
      <c r="AL657">
        <v>43372</v>
      </c>
      <c r="AM657" t="s">
        <v>1040</v>
      </c>
    </row>
    <row r="658" spans="34:39" x14ac:dyDescent="0.3">
      <c r="AH658" s="13" t="s">
        <v>990</v>
      </c>
      <c r="AI658" s="13"/>
      <c r="AJ658" t="s">
        <v>1015</v>
      </c>
      <c r="AK658" t="s">
        <v>310</v>
      </c>
      <c r="AL658">
        <v>42490</v>
      </c>
      <c r="AM658" t="s">
        <v>1033</v>
      </c>
    </row>
    <row r="659" spans="34:39" x14ac:dyDescent="0.3">
      <c r="AH659" s="13" t="s">
        <v>765</v>
      </c>
      <c r="AI659" s="13"/>
      <c r="AJ659" t="s">
        <v>1016</v>
      </c>
      <c r="AK659" t="s">
        <v>256</v>
      </c>
      <c r="AL659">
        <v>42605</v>
      </c>
      <c r="AM659" t="s">
        <v>1039</v>
      </c>
    </row>
    <row r="660" spans="34:39" x14ac:dyDescent="0.3">
      <c r="AH660" s="13" t="s">
        <v>973</v>
      </c>
      <c r="AI660" s="13"/>
      <c r="AJ660" t="s">
        <v>1017</v>
      </c>
      <c r="AK660" t="s">
        <v>350</v>
      </c>
      <c r="AL660">
        <v>41380</v>
      </c>
      <c r="AM660" t="s">
        <v>1033</v>
      </c>
    </row>
    <row r="661" spans="34:39" x14ac:dyDescent="0.3">
      <c r="AH661" s="13" t="s">
        <v>944</v>
      </c>
      <c r="AI661" s="13"/>
      <c r="AJ661" t="s">
        <v>1018</v>
      </c>
      <c r="AK661" t="s">
        <v>1019</v>
      </c>
      <c r="AL661">
        <v>42651</v>
      </c>
      <c r="AM661" t="s">
        <v>1035</v>
      </c>
    </row>
    <row r="662" spans="34:39" x14ac:dyDescent="0.3">
      <c r="AH662" s="13" t="s">
        <v>975</v>
      </c>
      <c r="AI662" s="13"/>
      <c r="AJ662" t="s">
        <v>1020</v>
      </c>
      <c r="AK662" t="s">
        <v>822</v>
      </c>
      <c r="AL662">
        <v>42449</v>
      </c>
      <c r="AM662" t="s">
        <v>1042</v>
      </c>
    </row>
    <row r="663" spans="34:39" x14ac:dyDescent="0.3">
      <c r="AH663" s="13" t="s">
        <v>978</v>
      </c>
      <c r="AI663" s="13"/>
      <c r="AJ663" t="s">
        <v>1021</v>
      </c>
      <c r="AK663" t="s">
        <v>256</v>
      </c>
      <c r="AL663">
        <v>42648</v>
      </c>
      <c r="AM663" t="s">
        <v>1039</v>
      </c>
    </row>
    <row r="664" spans="34:39" x14ac:dyDescent="0.3">
      <c r="AH664" s="13" t="s">
        <v>866</v>
      </c>
      <c r="AI664" s="13"/>
      <c r="AJ664" t="s">
        <v>1022</v>
      </c>
      <c r="AK664" t="s">
        <v>833</v>
      </c>
      <c r="AL664">
        <v>42675</v>
      </c>
      <c r="AM664" t="s">
        <v>1037</v>
      </c>
    </row>
    <row r="665" spans="34:39" x14ac:dyDescent="0.3">
      <c r="AH665" s="13" t="s">
        <v>671</v>
      </c>
      <c r="AI665" s="13"/>
      <c r="AJ665" t="s">
        <v>1023</v>
      </c>
      <c r="AK665" t="s">
        <v>241</v>
      </c>
      <c r="AL665">
        <v>43204</v>
      </c>
      <c r="AM665" t="s">
        <v>1036</v>
      </c>
    </row>
    <row r="666" spans="34:39" x14ac:dyDescent="0.3">
      <c r="AH666" s="13" t="s">
        <v>300</v>
      </c>
      <c r="AI666" s="13"/>
      <c r="AJ666" t="s">
        <v>1024</v>
      </c>
      <c r="AK666" t="s">
        <v>256</v>
      </c>
      <c r="AL666">
        <v>42686</v>
      </c>
      <c r="AM666" t="s">
        <v>1039</v>
      </c>
    </row>
    <row r="667" spans="34:39" x14ac:dyDescent="0.3">
      <c r="AH667" s="13" t="s">
        <v>583</v>
      </c>
      <c r="AI667" s="13"/>
      <c r="AJ667" t="s">
        <v>1025</v>
      </c>
      <c r="AK667" t="s">
        <v>405</v>
      </c>
      <c r="AL667">
        <v>42686</v>
      </c>
      <c r="AM667" t="s">
        <v>1033</v>
      </c>
    </row>
    <row r="767" spans="34:34" x14ac:dyDescent="0.3">
      <c r="AH767" t="s">
        <v>224</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cenario">
    <tabColor rgb="FF0070C0"/>
  </sheetPr>
  <dimension ref="A2:W31"/>
  <sheetViews>
    <sheetView showGridLines="0" showRowColHeaders="0" tabSelected="1" zoomScaleNormal="100" workbookViewId="0">
      <selection activeCell="J4" sqref="J4"/>
    </sheetView>
  </sheetViews>
  <sheetFormatPr defaultRowHeight="14.4" outlineLevelCol="1" x14ac:dyDescent="0.3"/>
  <cols>
    <col min="1" max="1" width="5.109375" customWidth="1"/>
    <col min="2" max="2" width="19.109375" bestFit="1" customWidth="1"/>
    <col min="3" max="4" width="11" customWidth="1"/>
    <col min="5" max="5" width="5.5546875" customWidth="1"/>
    <col min="6" max="6" width="7.33203125" customWidth="1"/>
    <col min="7" max="8" width="5.109375" customWidth="1"/>
    <col min="9" max="9" width="10.6640625" hidden="1" customWidth="1" outlineLevel="1"/>
    <col min="10" max="10" width="12.33203125" customWidth="1" collapsed="1"/>
    <col min="11" max="11" width="17.21875" bestFit="1" customWidth="1"/>
    <col min="15" max="15" width="5.109375" customWidth="1"/>
    <col min="16" max="16" width="12.77734375" customWidth="1"/>
    <col min="18" max="18" width="12.77734375" bestFit="1" customWidth="1"/>
    <col min="19" max="19" width="8.5546875" customWidth="1"/>
    <col min="20" max="20" width="5.109375" customWidth="1"/>
    <col min="21" max="21" width="22.77734375" customWidth="1"/>
    <col min="22" max="22" width="8.88671875" hidden="1" customWidth="1" outlineLevel="1"/>
    <col min="23" max="23" width="8.88671875" collapsed="1"/>
  </cols>
  <sheetData>
    <row r="2" spans="1:23" ht="15" thickBot="1" x14ac:dyDescent="0.35">
      <c r="A2" s="6"/>
      <c r="B2" s="34" t="s">
        <v>3</v>
      </c>
      <c r="C2" s="2"/>
      <c r="D2" s="1"/>
      <c r="E2" s="1"/>
      <c r="F2" s="6"/>
      <c r="G2" s="6"/>
      <c r="H2" s="5" t="s">
        <v>141</v>
      </c>
      <c r="I2" s="4"/>
      <c r="J2" s="4"/>
      <c r="K2" s="1"/>
      <c r="O2" s="6"/>
      <c r="P2" s="3" t="s">
        <v>165</v>
      </c>
      <c r="Q2" s="3"/>
      <c r="R2" s="1"/>
      <c r="S2" s="6"/>
      <c r="T2" s="6"/>
      <c r="U2" s="15" t="s">
        <v>154</v>
      </c>
      <c r="V2" s="15"/>
      <c r="W2" s="1"/>
    </row>
    <row r="3" spans="1:23" ht="15.6" thickTop="1" thickBot="1" x14ac:dyDescent="0.35"/>
    <row r="4" spans="1:23" ht="15" thickBot="1" x14ac:dyDescent="0.35">
      <c r="C4" t="s">
        <v>163</v>
      </c>
      <c r="D4" t="s">
        <v>164</v>
      </c>
      <c r="H4" s="7" t="s">
        <v>142</v>
      </c>
      <c r="J4" s="20"/>
      <c r="K4" s="27" t="str">
        <f>IF(ISBLANK(site_code),"&lt; NEW SITE &gt;",INDEX(SQL_Sites[customer],MATCH(site_code,SQL_Sites[id],0)))</f>
        <v>&lt; NEW SITE &gt;</v>
      </c>
      <c r="P4" s="11" t="s">
        <v>152</v>
      </c>
      <c r="U4" s="7"/>
      <c r="V4" s="17" t="b">
        <v>0</v>
      </c>
    </row>
    <row r="5" spans="1:23" ht="15" thickBot="1" x14ac:dyDescent="0.35">
      <c r="B5" s="7" t="s">
        <v>160</v>
      </c>
      <c r="C5" s="19"/>
      <c r="D5" s="19"/>
      <c r="F5" s="7"/>
      <c r="P5" s="6" t="s">
        <v>5</v>
      </c>
      <c r="Q5" s="6" t="s">
        <v>6</v>
      </c>
      <c r="R5" t="s">
        <v>166</v>
      </c>
      <c r="S5" t="s">
        <v>139</v>
      </c>
      <c r="U5" s="7"/>
      <c r="V5" s="18" t="b">
        <v>0</v>
      </c>
    </row>
    <row r="6" spans="1:23" ht="15" thickBot="1" x14ac:dyDescent="0.35">
      <c r="B6" s="7" t="s">
        <v>161</v>
      </c>
      <c r="C6" s="28"/>
      <c r="D6" s="28"/>
      <c r="E6" s="29"/>
      <c r="F6" t="s">
        <v>1028</v>
      </c>
      <c r="P6" s="22"/>
      <c r="Q6" s="22"/>
      <c r="R6" s="23"/>
      <c r="S6" s="24">
        <f>SUMIFS(SQL_Modules[rating], SQL_Modules[model], Roadmap[[#This Row],[model]], SQL_Modules[mark], Roadmap[[#This Row],[mark]], SQL_Modules[model_number], Roadmap[[#This Row],[model number]])</f>
        <v>0</v>
      </c>
      <c r="U6" s="7"/>
      <c r="V6" s="17" t="b">
        <v>1</v>
      </c>
    </row>
    <row r="7" spans="1:23" ht="15" thickBot="1" x14ac:dyDescent="0.35">
      <c r="B7" s="7" t="s">
        <v>162</v>
      </c>
      <c r="C7" s="19"/>
      <c r="D7" s="19"/>
      <c r="H7" s="35" t="s">
        <v>153</v>
      </c>
      <c r="I7" s="35"/>
      <c r="J7" s="35"/>
      <c r="K7" s="1"/>
      <c r="L7" s="1"/>
      <c r="U7" s="7"/>
      <c r="V7" s="17" t="b">
        <v>0</v>
      </c>
    </row>
    <row r="8" spans="1:23" ht="15" thickBot="1" x14ac:dyDescent="0.35">
      <c r="B8" s="7"/>
      <c r="U8" s="16"/>
      <c r="V8" s="17" t="b">
        <v>1</v>
      </c>
    </row>
    <row r="9" spans="1:23" ht="15" thickBot="1" x14ac:dyDescent="0.35">
      <c r="B9" s="16" t="s">
        <v>167</v>
      </c>
      <c r="C9" s="20"/>
      <c r="D9" s="27" t="str">
        <f t="array" ref="D9">IF(ISBLANK(site_code),IF(ISBLANK(xl_deal),"",xl_deal),
INDEX(Contracts[types],
IF(INDEX(SQL_Sites[contract],MATCH(site_code,SQL_Sites[id],0))="NONE",1,
IFERROR(MATCH(1,(COUNTIFS(INDEX(SQL_Sites[contract],MATCH(site_code,SQL_Sites[id],0)),Contracts[types]&amp;"*")),0),ROWS(Contracts[types])))))</f>
        <v/>
      </c>
      <c r="H9" s="7" t="s">
        <v>0</v>
      </c>
      <c r="I9" s="31">
        <v>43739</v>
      </c>
      <c r="J9" s="32">
        <f>IF(ISBLANK(site_code),EDATE(DATE(YEAR(xl_date),MONTH(xl_date)+1,1),xl_months-12),INDEX(SQL_Sites[acceptance_date],MATCH(site_code,SQL_Sites[id],0)))</f>
        <v>43770</v>
      </c>
    </row>
    <row r="10" spans="1:23" ht="15" thickBot="1" x14ac:dyDescent="0.35">
      <c r="B10" s="7"/>
      <c r="I10" s="21">
        <v>12</v>
      </c>
    </row>
    <row r="11" spans="1:23" ht="15" thickBot="1" x14ac:dyDescent="0.35">
      <c r="B11" s="7" t="s">
        <v>1</v>
      </c>
      <c r="C11" s="20"/>
      <c r="D11" t="s">
        <v>2</v>
      </c>
      <c r="H11" s="7" t="s">
        <v>168</v>
      </c>
      <c r="J11" s="26"/>
      <c r="K11" t="s">
        <v>170</v>
      </c>
      <c r="L11" s="7" t="s">
        <v>169</v>
      </c>
      <c r="M11" s="25">
        <f>IF(OR(ISBLANK(target_size),NOT(ISBLANK(site_code))),1,IFERROR(target_size/SUM(NewServers[nameplate]),1))</f>
        <v>1</v>
      </c>
      <c r="P11" s="8"/>
      <c r="Q11" s="8"/>
    </row>
    <row r="12" spans="1:23" x14ac:dyDescent="0.3">
      <c r="P12" s="14"/>
      <c r="Q12" s="14"/>
    </row>
    <row r="13" spans="1:23" x14ac:dyDescent="0.3">
      <c r="B13" s="7" t="s">
        <v>157</v>
      </c>
      <c r="C13" t="s">
        <v>155</v>
      </c>
      <c r="D13" t="s">
        <v>156</v>
      </c>
      <c r="H13" s="7" t="s">
        <v>151</v>
      </c>
      <c r="P13" s="14"/>
      <c r="Q13" s="14"/>
    </row>
    <row r="14" spans="1:23" x14ac:dyDescent="0.3">
      <c r="C14" s="21"/>
      <c r="D14" s="21"/>
      <c r="I14" s="7" t="s">
        <v>147</v>
      </c>
      <c r="J14" t="s">
        <v>5</v>
      </c>
      <c r="K14" t="s">
        <v>166</v>
      </c>
      <c r="L14" t="s">
        <v>146</v>
      </c>
      <c r="M14" t="s">
        <v>148</v>
      </c>
      <c r="N14" t="s">
        <v>149</v>
      </c>
      <c r="P14" s="14"/>
      <c r="Q14" s="14"/>
    </row>
    <row r="15" spans="1:23" x14ac:dyDescent="0.3">
      <c r="I15">
        <f>ROW()-ROW(NewServers[[#Headers],[server number]])</f>
        <v>1</v>
      </c>
      <c r="J15" s="21"/>
      <c r="K15" s="21"/>
      <c r="L15" s="24">
        <f>SUMIFS(SQL_Servers[nameplate], SQL_Servers[model], NewServers[[#This Row],[model]], SQL_Servers[model_number], NewServers[[#This Row],[model number]])</f>
        <v>0</v>
      </c>
      <c r="M15" s="24">
        <f>SUMIFS(SQL_Servers[enclosures], SQL_Servers[model], NewServers[[#This Row],[model]], SQL_Servers[model_number], NewServers[[#This Row],[model number]])</f>
        <v>0</v>
      </c>
      <c r="N15" s="24">
        <f>SUMIFS(SQL_Servers[plus_one], SQL_Servers[model], NewServers[[#This Row],[model]], SQL_Servers[model_number], NewServers[[#This Row],[model number]])</f>
        <v>0</v>
      </c>
    </row>
    <row r="16" spans="1:23" x14ac:dyDescent="0.3">
      <c r="I16" t="s">
        <v>150</v>
      </c>
      <c r="L16" s="12">
        <f>SUM(NewServers[nameplate])</f>
        <v>0</v>
      </c>
    </row>
    <row r="18" spans="1:20" x14ac:dyDescent="0.3">
      <c r="I18" s="13"/>
    </row>
    <row r="19" spans="1:20" x14ac:dyDescent="0.3">
      <c r="I19" s="13"/>
    </row>
    <row r="20" spans="1:20" x14ac:dyDescent="0.3">
      <c r="I20" s="13"/>
    </row>
    <row r="21" spans="1:20" x14ac:dyDescent="0.3">
      <c r="J21" s="33"/>
    </row>
    <row r="29" spans="1:20" x14ac:dyDescent="0.3">
      <c r="M29" s="6"/>
    </row>
    <row r="31" spans="1:20" x14ac:dyDescent="0.3">
      <c r="A31" s="6"/>
      <c r="E31" s="6"/>
      <c r="F31" s="6"/>
      <c r="G31" s="6"/>
      <c r="H31" s="6"/>
      <c r="O31" s="6"/>
      <c r="T31" s="6"/>
    </row>
  </sheetData>
  <sheetProtection selectLockedCells="1"/>
  <conditionalFormatting sqref="C6:D6">
    <cfRule type="expression" dxfId="10" priority="7">
      <formula>ISBLANK(window)</formula>
    </cfRule>
    <cfRule type="expression" dxfId="9" priority="8">
      <formula>AND(ISBLANK(wtmo_limit),ISBLANK(weff_limit),NOT(ISBLANK(window)))</formula>
    </cfRule>
  </conditionalFormatting>
  <conditionalFormatting sqref="J4 J15:K15 J9 C11 C9">
    <cfRule type="containsBlanks" dxfId="8" priority="12">
      <formula>LEN(TRIM(C4))=0</formula>
    </cfRule>
  </conditionalFormatting>
  <conditionalFormatting sqref="J4">
    <cfRule type="expression" dxfId="7" priority="9">
      <formula>AND(COUNTIFS(new_models,"?*")&gt;0,ISBLANK(site_code))</formula>
    </cfRule>
  </conditionalFormatting>
  <conditionalFormatting sqref="C5:D7">
    <cfRule type="expression" dxfId="6" priority="10">
      <formula>AND(ISBLANK(ctmo_limit),ISBLANK(ceff_limit),ISBLANK(wtmo_limit),ISBLANK(weff_limit),ISBLANK(ptmo_limit),ISBLANK(peff_limit))</formula>
    </cfRule>
  </conditionalFormatting>
  <conditionalFormatting sqref="J9">
    <cfRule type="expression" dxfId="5" priority="5">
      <formula>NOT(ISBLANK(site_code))</formula>
    </cfRule>
  </conditionalFormatting>
  <conditionalFormatting sqref="C9">
    <cfRule type="expression" dxfId="4" priority="4">
      <formula>NOT(ISBLANK(site_code))</formula>
    </cfRule>
  </conditionalFormatting>
  <conditionalFormatting sqref="P6:R6">
    <cfRule type="expression" dxfId="3" priority="18">
      <formula>AND(COUNTIFS($P$6:$R$6,"*?"),ISBLANK(P6))</formula>
    </cfRule>
  </conditionalFormatting>
  <conditionalFormatting sqref="J15:N15">
    <cfRule type="expression" dxfId="2" priority="3">
      <formula>NOT(ISBLANK(site_code))</formula>
    </cfRule>
  </conditionalFormatting>
  <conditionalFormatting sqref="M11">
    <cfRule type="expression" dxfId="1" priority="2">
      <formula>NOT(ISBLANK(site_code))</formula>
    </cfRule>
  </conditionalFormatting>
  <conditionalFormatting sqref="J11">
    <cfRule type="expression" dxfId="0" priority="1">
      <formula>NOT(ISBLANK(site_code))</formula>
    </cfRule>
  </conditionalFormatting>
  <dataValidations count="13">
    <dataValidation type="list" allowBlank="1" showInputMessage="1" showErrorMessage="1" sqref="J15">
      <formula1>servers_dropdown_1_model</formula1>
    </dataValidation>
    <dataValidation type="list" allowBlank="1" showInputMessage="1" showErrorMessage="1" sqref="C9">
      <formula1>contracts_dropdown</formula1>
    </dataValidation>
    <dataValidation type="list" allowBlank="1" showInputMessage="1" showErrorMessage="1" sqref="P6">
      <formula1>modules_dropdown_1_model</formula1>
    </dataValidation>
    <dataValidation type="list" allowBlank="1" showInputMessage="1" showErrorMessage="1" sqref="J4">
      <formula1>sites_dropdown</formula1>
    </dataValidation>
    <dataValidation type="list" allowBlank="1" showInputMessage="1" showErrorMessage="1" sqref="E6">
      <formula1>"1,2,3,4,5,6,7,8,9,10,11,12"</formula1>
    </dataValidation>
    <dataValidation type="list" allowBlank="1" showInputMessage="1" showErrorMessage="1" sqref="Q6">
      <formula1>OFFSET(modules_dropdown_2_mark,MATCH($P6,modules_dropdown_2_model,0)-1,0,COUNTIFS(modules_dropdown_2_model,$P6),1)</formula1>
    </dataValidation>
    <dataValidation type="list" allowBlank="1" showInputMessage="1" showErrorMessage="1" sqref="R6">
      <formula1>OFFSET(modules_dropdown_3_model_number,MATCH(1,INDEX((modules_dropdown_3_model=$P6)*(modules_dropdown_3_mark=$Q6),0,1),0)-1,0,COUNTIFS(modules_dropdown_3_model,$P6,modules_dropdown_3_mark,$Q6),1)</formula1>
    </dataValidation>
    <dataValidation type="list" allowBlank="1" showInputMessage="1" showErrorMessage="1" sqref="K15">
      <formula1>OFFSET(servers_dropdown_2_model_number,MATCH($J15,servers_dropdown_2_model,0)-1,0,COUNTIFS(servers_dropdown_2_model,$J15),1)</formula1>
    </dataValidation>
    <dataValidation type="list" allowBlank="1" showInputMessage="1" showErrorMessage="1" sqref="C11">
      <formula1>years_dropdown</formula1>
    </dataValidation>
    <dataValidation type="list" allowBlank="1" showInputMessage="1" showErrorMessage="1" sqref="C14">
      <formula1>OFFSET(years_dropdown,0,0,contract_length,1)</formula1>
    </dataValidation>
    <dataValidation type="list" allowBlank="1" showInputMessage="1" showErrorMessage="1" sqref="D14">
      <formula1>OFFSET(years_dropdown,$C14-1,0,IF(ISBLANK($C14),0,contract_length-$C14+1),1)</formula1>
    </dataValidation>
    <dataValidation type="decimal" allowBlank="1" showInputMessage="1" showErrorMessage="1" error="must be between 0%-100%" sqref="C5:D7">
      <formula1>0</formula1>
      <formula2>1</formula2>
    </dataValidation>
    <dataValidation type="decimal" allowBlank="1" showInputMessage="1" showErrorMessage="1" error="must be between server layout size and 50MW" sqref="J11">
      <formula1>L16</formula1>
      <formula2>50000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20</xdr:col>
                    <xdr:colOff>182880</xdr:colOff>
                    <xdr:row>3</xdr:row>
                    <xdr:rowOff>0</xdr:rowOff>
                  </from>
                  <to>
                    <xdr:col>22</xdr:col>
                    <xdr:colOff>0</xdr:colOff>
                    <xdr:row>4</xdr:row>
                    <xdr:rowOff>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from>
                    <xdr:col>20</xdr:col>
                    <xdr:colOff>182880</xdr:colOff>
                    <xdr:row>4</xdr:row>
                    <xdr:rowOff>0</xdr:rowOff>
                  </from>
                  <to>
                    <xdr:col>22</xdr:col>
                    <xdr:colOff>0</xdr:colOff>
                    <xdr:row>5</xdr:row>
                    <xdr:rowOff>0</xdr:rowOff>
                  </to>
                </anchor>
              </controlPr>
            </control>
          </mc:Choice>
        </mc:AlternateContent>
        <mc:AlternateContent xmlns:mc="http://schemas.openxmlformats.org/markup-compatibility/2006">
          <mc:Choice Requires="x14">
            <control shapeId="7171" r:id="rId6" name="Check Box 3">
              <controlPr defaultSize="0" autoFill="0" autoLine="0" autoPict="0">
                <anchor moveWithCells="1">
                  <from>
                    <xdr:col>20</xdr:col>
                    <xdr:colOff>182880</xdr:colOff>
                    <xdr:row>5</xdr:row>
                    <xdr:rowOff>0</xdr:rowOff>
                  </from>
                  <to>
                    <xdr:col>22</xdr:col>
                    <xdr:colOff>0</xdr:colOff>
                    <xdr:row>6</xdr:row>
                    <xdr:rowOff>0</xdr:rowOff>
                  </to>
                </anchor>
              </controlPr>
            </control>
          </mc:Choice>
        </mc:AlternateContent>
        <mc:AlternateContent xmlns:mc="http://schemas.openxmlformats.org/markup-compatibility/2006">
          <mc:Choice Requires="x14">
            <control shapeId="7172" r:id="rId7" name="Check Box 4">
              <controlPr defaultSize="0" autoFill="0" autoLine="0" autoPict="0">
                <anchor moveWithCells="1">
                  <from>
                    <xdr:col>20</xdr:col>
                    <xdr:colOff>182880</xdr:colOff>
                    <xdr:row>7</xdr:row>
                    <xdr:rowOff>0</xdr:rowOff>
                  </from>
                  <to>
                    <xdr:col>22</xdr:col>
                    <xdr:colOff>0</xdr:colOff>
                    <xdr:row>8</xdr:row>
                    <xdr:rowOff>0</xdr:rowOff>
                  </to>
                </anchor>
              </controlPr>
            </control>
          </mc:Choice>
        </mc:AlternateContent>
        <mc:AlternateContent xmlns:mc="http://schemas.openxmlformats.org/markup-compatibility/2006">
          <mc:Choice Requires="x14">
            <control shapeId="7173" r:id="rId8" name="Check Box 5">
              <controlPr defaultSize="0" autoFill="0" autoLine="0" autoPict="0">
                <anchor moveWithCells="1">
                  <from>
                    <xdr:col>20</xdr:col>
                    <xdr:colOff>182880</xdr:colOff>
                    <xdr:row>6</xdr:row>
                    <xdr:rowOff>0</xdr:rowOff>
                  </from>
                  <to>
                    <xdr:col>22</xdr:col>
                    <xdr:colOff>0</xdr:colOff>
                    <xdr:row>7</xdr:row>
                    <xdr:rowOff>0</xdr:rowOff>
                  </to>
                </anchor>
              </controlPr>
            </control>
          </mc:Choice>
        </mc:AlternateContent>
        <mc:AlternateContent xmlns:mc="http://schemas.openxmlformats.org/markup-compatibility/2006">
          <mc:Choice Requires="x14">
            <control shapeId="7193" r:id="rId9" name="Button 25">
              <controlPr defaultSize="0" print="0" autoFill="0" autoPict="0" macro="[0]!Remove_Server">
                <anchor moveWithCells="1" sizeWithCells="1">
                  <from>
                    <xdr:col>7</xdr:col>
                    <xdr:colOff>60960</xdr:colOff>
                    <xdr:row>13</xdr:row>
                    <xdr:rowOff>175260</xdr:rowOff>
                  </from>
                  <to>
                    <xdr:col>7</xdr:col>
                    <xdr:colOff>259080</xdr:colOff>
                    <xdr:row>15</xdr:row>
                    <xdr:rowOff>0</xdr:rowOff>
                  </to>
                </anchor>
              </controlPr>
            </control>
          </mc:Choice>
        </mc:AlternateContent>
        <mc:AlternateContent xmlns:mc="http://schemas.openxmlformats.org/markup-compatibility/2006">
          <mc:Choice Requires="x14">
            <control shapeId="7198" r:id="rId10" name="Button 30">
              <controlPr defaultSize="0" print="0" autoFill="0" autoPict="0" macro="[0]!Add_Server">
                <anchor moveWithCells="1" sizeWithCells="1">
                  <from>
                    <xdr:col>6</xdr:col>
                    <xdr:colOff>213360</xdr:colOff>
                    <xdr:row>14</xdr:row>
                    <xdr:rowOff>0</xdr:rowOff>
                  </from>
                  <to>
                    <xdr:col>7</xdr:col>
                    <xdr:colOff>60960</xdr:colOff>
                    <xdr:row>15</xdr:row>
                    <xdr:rowOff>0</xdr:rowOff>
                  </to>
                </anchor>
              </controlPr>
            </control>
          </mc:Choice>
        </mc:AlternateContent>
        <mc:AlternateContent xmlns:mc="http://schemas.openxmlformats.org/markup-compatibility/2006">
          <mc:Choice Requires="x14">
            <control shapeId="7205" r:id="rId11" name="Button 37">
              <controlPr defaultSize="0" print="0" autoFill="0" autoPict="0" macro="[0]!Remove_Roadmap">
                <anchor moveWithCells="1" sizeWithCells="1">
                  <from>
                    <xdr:col>14</xdr:col>
                    <xdr:colOff>60960</xdr:colOff>
                    <xdr:row>5</xdr:row>
                    <xdr:rowOff>7620</xdr:rowOff>
                  </from>
                  <to>
                    <xdr:col>14</xdr:col>
                    <xdr:colOff>259080</xdr:colOff>
                    <xdr:row>6</xdr:row>
                    <xdr:rowOff>0</xdr:rowOff>
                  </to>
                </anchor>
              </controlPr>
            </control>
          </mc:Choice>
        </mc:AlternateContent>
        <mc:AlternateContent xmlns:mc="http://schemas.openxmlformats.org/markup-compatibility/2006">
          <mc:Choice Requires="x14">
            <control shapeId="7206" r:id="rId12" name="Button 38">
              <controlPr defaultSize="0" print="0" autoFill="0" autoPict="0" macro="[0]!Add_Roadmap">
                <anchor moveWithCells="1" sizeWithCells="1">
                  <from>
                    <xdr:col>13</xdr:col>
                    <xdr:colOff>472440</xdr:colOff>
                    <xdr:row>5</xdr:row>
                    <xdr:rowOff>7620</xdr:rowOff>
                  </from>
                  <to>
                    <xdr:col>14</xdr:col>
                    <xdr:colOff>60960</xdr:colOff>
                    <xdr:row>6</xdr:row>
                    <xdr:rowOff>0</xdr:rowOff>
                  </to>
                </anchor>
              </controlPr>
            </control>
          </mc:Choice>
        </mc:AlternateContent>
        <mc:AlternateContent xmlns:mc="http://schemas.openxmlformats.org/markup-compatibility/2006">
          <mc:Choice Requires="x14">
            <control shapeId="7207" r:id="rId13" name="Button 39">
              <controlPr defaultSize="0" print="0" autoFill="0" autoPict="0" macro="[0]!Remove_Nonreplace">
                <anchor moveWithCells="1" sizeWithCells="1">
                  <from>
                    <xdr:col>1</xdr:col>
                    <xdr:colOff>1028700</xdr:colOff>
                    <xdr:row>13</xdr:row>
                    <xdr:rowOff>0</xdr:rowOff>
                  </from>
                  <to>
                    <xdr:col>1</xdr:col>
                    <xdr:colOff>1226820</xdr:colOff>
                    <xdr:row>14</xdr:row>
                    <xdr:rowOff>0</xdr:rowOff>
                  </to>
                </anchor>
              </controlPr>
            </control>
          </mc:Choice>
        </mc:AlternateContent>
        <mc:AlternateContent xmlns:mc="http://schemas.openxmlformats.org/markup-compatibility/2006">
          <mc:Choice Requires="x14">
            <control shapeId="7208" r:id="rId14" name="Button 40">
              <controlPr defaultSize="0" print="0" autoFill="0" autoPict="0" macro="[0]!Add_Nonreplace">
                <anchor moveWithCells="1" sizeWithCells="1">
                  <from>
                    <xdr:col>1</xdr:col>
                    <xdr:colOff>830580</xdr:colOff>
                    <xdr:row>13</xdr:row>
                    <xdr:rowOff>0</xdr:rowOff>
                  </from>
                  <to>
                    <xdr:col>1</xdr:col>
                    <xdr:colOff>1028700</xdr:colOff>
                    <xdr:row>14</xdr:row>
                    <xdr:rowOff>0</xdr:rowOff>
                  </to>
                </anchor>
              </controlPr>
            </control>
          </mc:Choice>
        </mc:AlternateContent>
        <mc:AlternateContent xmlns:mc="http://schemas.openxmlformats.org/markup-compatibility/2006">
          <mc:Choice Requires="x14">
            <control shapeId="7214" r:id="rId15" name="Button 46">
              <controlPr defaultSize="0" print="0" autoFill="0" autoPict="0" macro="[0]!Delete_Scenario">
                <anchor moveWithCells="1" sizeWithCells="1">
                  <from>
                    <xdr:col>0</xdr:col>
                    <xdr:colOff>0</xdr:colOff>
                    <xdr:row>0</xdr:row>
                    <xdr:rowOff>0</xdr:rowOff>
                  </from>
                  <to>
                    <xdr:col>0</xdr:col>
                    <xdr:colOff>220980</xdr:colOff>
                    <xdr:row>1</xdr:row>
                    <xdr:rowOff>0</xdr:rowOff>
                  </to>
                </anchor>
              </controlPr>
            </control>
          </mc:Choice>
        </mc:AlternateContent>
        <mc:AlternateContent xmlns:mc="http://schemas.openxmlformats.org/markup-compatibility/2006">
          <mc:Choice Requires="x14">
            <control shapeId="7217" r:id="rId16" name="Spinner 49">
              <controlPr defaultSize="0" autoPict="0">
                <anchor moveWithCells="1" sizeWithCells="1">
                  <from>
                    <xdr:col>10</xdr:col>
                    <xdr:colOff>0</xdr:colOff>
                    <xdr:row>8</xdr:row>
                    <xdr:rowOff>0</xdr:rowOff>
                  </from>
                  <to>
                    <xdr:col>10</xdr:col>
                    <xdr:colOff>121920</xdr:colOff>
                    <xdr:row>9</xdr:row>
                    <xdr:rowOff>0</xdr:rowOff>
                  </to>
                </anchor>
              </controlPr>
            </control>
          </mc:Choice>
        </mc:AlternateContent>
      </controls>
    </mc:Choice>
  </mc:AlternateContent>
  <tableParts count="3">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8D0FCB3-2796-4268-AA1C-472A03AD14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37</vt:i4>
      </vt:variant>
    </vt:vector>
  </HeadingPairs>
  <TitlesOfParts>
    <vt:vector size="40" baseType="lpstr">
      <vt:lpstr>⚙</vt:lpstr>
      <vt:lpstr>📚</vt:lpstr>
      <vt:lpstr>📃</vt:lpstr>
      <vt:lpstr>'📃'!allow_early_deploy</vt:lpstr>
      <vt:lpstr>'📃'!allow_redeploy</vt:lpstr>
      <vt:lpstr>'📃'!allow_repairs</vt:lpstr>
      <vt:lpstr>'📃'!ceff_limit</vt:lpstr>
      <vt:lpstr>'📃'!contract_deal</vt:lpstr>
      <vt:lpstr>'📃'!contract_length</vt:lpstr>
      <vt:lpstr>contracts_dropdown</vt:lpstr>
      <vt:lpstr>'📃'!ctmo_limit</vt:lpstr>
      <vt:lpstr>'📃'!eoc_replacements</vt:lpstr>
      <vt:lpstr>modules_dropdown_1_model</vt:lpstr>
      <vt:lpstr>modules_dropdown_2_mark</vt:lpstr>
      <vt:lpstr>modules_dropdown_2_model</vt:lpstr>
      <vt:lpstr>modules_dropdown_3_mark</vt:lpstr>
      <vt:lpstr>modules_dropdown_3_model</vt:lpstr>
      <vt:lpstr>modules_dropdown_3_model_number</vt:lpstr>
      <vt:lpstr>'📃'!multiplier</vt:lpstr>
      <vt:lpstr>'⚙'!n_runs</vt:lpstr>
      <vt:lpstr>'⚙'!n_sites</vt:lpstr>
      <vt:lpstr>'⚙'!n_years</vt:lpstr>
      <vt:lpstr>new_models</vt:lpstr>
      <vt:lpstr>'📃'!peff_limit</vt:lpstr>
      <vt:lpstr>'📃'!ptmo_limit</vt:lpstr>
      <vt:lpstr>servers_dropdown_1_model</vt:lpstr>
      <vt:lpstr>servers_dropdown_2_model</vt:lpstr>
      <vt:lpstr>servers_dropdown_2_model_number</vt:lpstr>
      <vt:lpstr>'📃'!site_code</vt:lpstr>
      <vt:lpstr>sites_dropdown</vt:lpstr>
      <vt:lpstr>'📃'!start_date</vt:lpstr>
      <vt:lpstr>'📃'!target_size</vt:lpstr>
      <vt:lpstr>'📃'!use_best_only</vt:lpstr>
      <vt:lpstr>'📃'!weff_limit</vt:lpstr>
      <vt:lpstr>'📃'!window</vt:lpstr>
      <vt:lpstr>'📃'!wtmo_limit</vt:lpstr>
      <vt:lpstr>'📃'!xl_date</vt:lpstr>
      <vt:lpstr>'📃'!xl_deal</vt:lpstr>
      <vt:lpstr>'📃'!xl_months</vt:lpstr>
      <vt:lpstr>years_dropdown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Franzonello</dc:creator>
  <cp:lastModifiedBy>Michael Franzonello</cp:lastModifiedBy>
  <dcterms:created xsi:type="dcterms:W3CDTF">2015-06-05T18:17:20Z</dcterms:created>
  <dcterms:modified xsi:type="dcterms:W3CDTF">2019-10-24T21:29:56Z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3d8df67f-b9a2-487c-b0f4-da6c1c184d9b</vt:lpwstr>
  </property>
  <property fmtid="{D5CDD505-2E9C-101B-9397-08002B2CF9AE}" pid="3" name="ConnectionInfosStorage">
    <vt:lpwstr>WorkbookXmlParts</vt:lpwstr>
  </property>
</Properties>
</file>