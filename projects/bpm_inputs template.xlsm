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f181029\source\repos\Mobunni\projects\"/>
    </mc:Choice>
  </mc:AlternateContent>
  <bookViews>
    <workbookView xWindow="0" yWindow="0" windowWidth="18876" windowHeight="5376"/>
  </bookViews>
  <sheets>
    <sheet name="⚙" sheetId="2" r:id="rId1"/>
    <sheet name="📚" sheetId="63" state="hidden" r:id="rId2"/>
    <sheet name="📃" sheetId="84" state="hidden" r:id="rId3"/>
  </sheets>
  <functionGroups builtInGroupCount="18"/>
  <definedNames>
    <definedName name="_xlcn.WorksheetConnection_bpm_inputs_template.xlsxSQL_Servers" hidden="1">SQL_Servers[]</definedName>
    <definedName name="allow_early_deploy" localSheetId="2">'📃'!$V$7</definedName>
    <definedName name="allow_redeploy" localSheetId="2">'📃'!$V$5</definedName>
    <definedName name="allow_repairs" localSheetId="2">'📃'!$V$4</definedName>
    <definedName name="ceff_limit" localSheetId="2">'📃'!$D$5</definedName>
    <definedName name="contract_deal" localSheetId="2">'📃'!$D$9</definedName>
    <definedName name="contract_length" localSheetId="2">'📃'!$C$11</definedName>
    <definedName name="contracts_dropdown">Contracts[types]</definedName>
    <definedName name="ctmo_limit" localSheetId="2">'📃'!$C$5</definedName>
    <definedName name="eoc_replacements" localSheetId="2">'📃'!$V$8</definedName>
    <definedName name="ExternalData_1" localSheetId="1" hidden="1">'📚'!$K$3:$K$6</definedName>
    <definedName name="ExternalData_2" localSheetId="1" hidden="1">'📚'!$W$3:$W$8</definedName>
    <definedName name="ExternalData_3" localSheetId="1" hidden="1">'📚'!$M$3:$N$135</definedName>
    <definedName name="ExternalData_4" localSheetId="1" hidden="1">'📚'!$Y$3:$Z$16</definedName>
    <definedName name="ExternalData_5" localSheetId="1" hidden="1">'📚'!$AB$3:$AD$37</definedName>
    <definedName name="ExternalData_6" localSheetId="1" hidden="1">'📚'!$AF$3:$AF$667</definedName>
    <definedName name="main" localSheetId="1" hidden="1">'📚'!$D$3:$I$135</definedName>
    <definedName name="main_1" localSheetId="1" hidden="1">'📚'!$P$3:$U$37</definedName>
    <definedName name="main_2" localSheetId="1" hidden="1">'📚'!#REF!</definedName>
    <definedName name="mobunni_apc" localSheetId="1" hidden="1">'📚'!$AH$3:$AK$667</definedName>
    <definedName name="modules_dropdown_1_model">SQL_Modules_1[model]</definedName>
    <definedName name="modules_dropdown_2_mark">SQL_Modules_2[mark]</definedName>
    <definedName name="modules_dropdown_2_model">SQL_Modules_2[model]</definedName>
    <definedName name="modules_dropdown_3_mark">SQL_Modules_3[mark]</definedName>
    <definedName name="modules_dropdown_3_model">SQL_Modules_3[model]</definedName>
    <definedName name="modules_dropdown_3_model_number">SQL_Modules_3[model_number]</definedName>
    <definedName name="multiplier" localSheetId="2">'📃'!$M$11</definedName>
    <definedName name="n_runs" localSheetId="0">'⚙'!$C$8</definedName>
    <definedName name="n_sites" localSheetId="0">'⚙'!$C$4</definedName>
    <definedName name="n_years" localSheetId="0">'⚙'!$C$6</definedName>
    <definedName name="new_models">NewServers[model]</definedName>
    <definedName name="peff_limit" localSheetId="2">'📃'!$D$7</definedName>
    <definedName name="ptmo_limit" localSheetId="2">'📃'!$C$7</definedName>
    <definedName name="servers_dropdown_1_model">SQL_Servers_0[model]</definedName>
    <definedName name="servers_dropdown_2_model">SQL_Servers_2[model]</definedName>
    <definedName name="servers_dropdown_2_model_number">SQL_Servers_2[model_number]</definedName>
    <definedName name="site_code" localSheetId="2">'📃'!$J$4</definedName>
    <definedName name="sites_dropdown">SQL_Sites_1[id]</definedName>
    <definedName name="SQL_Servers_1" localSheetId="1" hidden="1">'📚'!#REF!</definedName>
    <definedName name="start_date" localSheetId="2">'📃'!$J$9</definedName>
    <definedName name="target_size" localSheetId="2">'📃'!$J$11</definedName>
    <definedName name="use_best_only" localSheetId="2">'📃'!$V$6</definedName>
    <definedName name="weff_limit" localSheetId="2">'📃'!$D$6</definedName>
    <definedName name="window" localSheetId="2">'📃'!$E$6</definedName>
    <definedName name="wtmo_limit" localSheetId="2">'📃'!$C$6</definedName>
    <definedName name="xl_date" localSheetId="2">'📃'!$I$9</definedName>
    <definedName name="xl_deal" localSheetId="2">'📃'!$C$9</definedName>
    <definedName name="xl_months" localSheetId="2">'📃'!$I$10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QL_Servers" name="SQL_Servers" connection="WorksheetConnection_bpm_inputs_template.xlsx!SQL_Servers"/>
        </x15:modelTables>
      </x15:dataModel>
    </ext>
  </extLst>
</workbook>
</file>

<file path=xl/calcChain.xml><?xml version="1.0" encoding="utf-8"?>
<calcChain xmlns="http://schemas.openxmlformats.org/spreadsheetml/2006/main">
  <c r="D9" i="84" l="1" a="1"/>
  <c r="D9" i="84" s="1"/>
  <c r="J9" i="84"/>
  <c r="K4" i="84" l="1"/>
  <c r="N15" i="84" l="1"/>
  <c r="M15" i="84"/>
  <c r="L15" i="84"/>
  <c r="S6" i="84"/>
  <c r="M11" i="84" l="1"/>
  <c r="L16" i="84" l="1"/>
  <c r="I15" i="84"/>
</calcChain>
</file>

<file path=xl/connections.xml><?xml version="1.0" encoding="utf-8"?>
<connections xmlns="http://schemas.openxmlformats.org/spreadsheetml/2006/main">
  <connection id="1" odcFile="\\Denali\Departments\Marketing\Product_Management\Service Costs\mobunni.odc" name="Mobunni APC" description="APC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APC&quot;"/>
  </connection>
  <connection id="2" odcFile="\\Denali\Departments\Marketing\Product_Management\Service Costs\mobunni.odc" name="Mobunni Module" description="Module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Module&quot;"/>
  </connection>
  <connection id="3" odcFile="\\Denali\Departments\Marketing\Product_Management\Service Costs\mobunni.odc" name="Mobunni Server" description="Server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Server&quot;"/>
  </connection>
  <connection id="4" keepAlive="1" name="Query - SQL_Modules_1" description="Connection to the 'SQL_Modules_1' query in the workbook." type="5" refreshedVersion="6" background="1" saveData="1">
    <dbPr connection="Provider=Microsoft.Mashup.OleDb.1;Data Source=$Workbook$;Location=SQL_Modules_1;Extended Properties=&quot;&quot;" command="SELECT * FROM [SQL_Modules_1]"/>
  </connection>
  <connection id="5" keepAlive="1" name="Query - SQL_Modules_2" description="Connection to the 'SQL_Modules_2' query in the workbook." type="5" refreshedVersion="6" background="1" saveData="1">
    <dbPr connection="Provider=Microsoft.Mashup.OleDb.1;Data Source=$Workbook$;Location=SQL_Modules_2;Extended Properties=&quot;&quot;" command="SELECT * FROM [SQL_Modules_2]"/>
  </connection>
  <connection id="6" keepAlive="1" name="Query - SQL_Modules_3" description="Connection to the 'SQL_Modules_3' query in the workbook." type="5" refreshedVersion="6" background="1" saveData="1">
    <dbPr connection="Provider=Microsoft.Mashup.OleDb.1;Data Source=$Workbook$;Location=SQL_Modules_3;Extended Properties=&quot;&quot;" command="SELECT * FROM [SQL_Modules_3]"/>
  </connection>
  <connection id="7" keepAlive="1" name="Query - SQL_Servers_1" description="Connection to the 'SQL_Servers_1' query in the workbook." type="5" refreshedVersion="6" background="1" saveData="1">
    <dbPr connection="Provider=Microsoft.Mashup.OleDb.1;Data Source=$Workbook$;Location=SQL_Servers_1;Extended Properties=&quot;&quot;" command="SELECT * FROM [SQL_Servers_1]"/>
  </connection>
  <connection id="8" keepAlive="1" name="Query - SQL_Servers_2" description="Connection to the 'SQL_Servers_2' query in the workbook." type="5" refreshedVersion="6" background="1" saveData="1">
    <dbPr connection="Provider=Microsoft.Mashup.OleDb.1;Data Source=$Workbook$;Location=SQL_Servers_2;Extended Properties=&quot;&quot;" command="SELECT * FROM [SQL_Servers_2]"/>
  </connection>
  <connection id="9" keepAlive="1" name="Query - SQL_Sites_1" description="Connection to the 'SQL_Sites_1' query in the workbook." type="5" refreshedVersion="6" background="1" saveData="1">
    <dbPr connection="Provider=Microsoft.Mashup.OleDb.1;Data Source=$Workbook$;Location=SQL_Sites_1;Extended Properties=&quot;&quot;" command="SELECT * FROM [SQL_Sites_1]"/>
  </connection>
  <connection id="10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name="WorksheetConnection_bpm_inputs_template.xlsx!SQL_Servers" type="102" refreshedVersion="6" minRefreshableVersion="5">
    <extLst>
      <ext xmlns:x15="http://schemas.microsoft.com/office/spreadsheetml/2010/11/main" uri="{DE250136-89BD-433C-8126-D09CA5730AF9}">
        <x15:connection id="SQL_Servers">
          <x15:rangePr sourceName="_xlcn.WorksheetConnection_bpm_inputs_template.xlsxSQL_Servers"/>
        </x15:connection>
      </ext>
    </extLst>
  </connection>
</connections>
</file>

<file path=xl/sharedStrings.xml><?xml version="1.0" encoding="utf-8"?>
<sst xmlns="http://schemas.openxmlformats.org/spreadsheetml/2006/main" count="3569" uniqueCount="1051">
  <si>
    <t>start date</t>
  </si>
  <si>
    <t>contract length</t>
  </si>
  <si>
    <t>years</t>
  </si>
  <si>
    <t>CONTRACT</t>
  </si>
  <si>
    <t>PROJECT DETAILS</t>
  </si>
  <si>
    <t>MC runs</t>
  </si>
  <si>
    <t>sites</t>
  </si>
  <si>
    <t>model</t>
  </si>
  <si>
    <t>mark</t>
  </si>
  <si>
    <t>Yuma</t>
  </si>
  <si>
    <t>ES5-YA1AAN</t>
  </si>
  <si>
    <t>ES5-YA8AAC</t>
  </si>
  <si>
    <t>ES5-YA8AAN</t>
  </si>
  <si>
    <t>ES5-YA1AAA</t>
  </si>
  <si>
    <t>ES5-YA8AAA</t>
  </si>
  <si>
    <t>ES5-YA8AAU</t>
  </si>
  <si>
    <t>ES5-YH8AAN</t>
  </si>
  <si>
    <t>ES5-AA2AAC</t>
  </si>
  <si>
    <t>ES5-AA2AAD</t>
  </si>
  <si>
    <t>ES5-AA2AAM</t>
  </si>
  <si>
    <t>ES5-AA2AAN</t>
  </si>
  <si>
    <t>ES5-AACAAM</t>
  </si>
  <si>
    <t>ES5-AACAAN</t>
  </si>
  <si>
    <t>ES5-EA2AAC</t>
  </si>
  <si>
    <t>ES5-EA2AAM</t>
  </si>
  <si>
    <t>ES5-EA2AAN</t>
  </si>
  <si>
    <t>ES5-EACAAN</t>
  </si>
  <si>
    <t>ES5-AA2AAA</t>
  </si>
  <si>
    <t>ES5-AA2AAB</t>
  </si>
  <si>
    <t>ES5-AA2AAU</t>
  </si>
  <si>
    <t>ES5-AACAAA</t>
  </si>
  <si>
    <t>ES5-AACAAB</t>
  </si>
  <si>
    <t>ES5-DA2AAA</t>
  </si>
  <si>
    <t>ES5-DACAAA</t>
  </si>
  <si>
    <t>ES5-EA2AAA</t>
  </si>
  <si>
    <t>ES5-EA2AAU</t>
  </si>
  <si>
    <t>ES5-EACAAA</t>
  </si>
  <si>
    <t>ES5-EHGAAN</t>
  </si>
  <si>
    <t>ES5-BABAAC</t>
  </si>
  <si>
    <t>ES5-BABAAD</t>
  </si>
  <si>
    <t>ES5-BABAAM</t>
  </si>
  <si>
    <t>ES5-BABAAN</t>
  </si>
  <si>
    <t>ES5-BADAAM</t>
  </si>
  <si>
    <t>ES5-BADAAN</t>
  </si>
  <si>
    <t>ES5-FABAAM</t>
  </si>
  <si>
    <t>ES5-FABAAN</t>
  </si>
  <si>
    <t>ES5-FADAAM</t>
  </si>
  <si>
    <t>ES5-FADAAN</t>
  </si>
  <si>
    <t>ES5-BABAAA</t>
  </si>
  <si>
    <t>ES5-BABAAB</t>
  </si>
  <si>
    <t>ES5-BABAAU</t>
  </si>
  <si>
    <t>ES5-BADAAA</t>
  </si>
  <si>
    <t>ES5-BADAAB</t>
  </si>
  <si>
    <t>ES5-FABAAA</t>
  </si>
  <si>
    <t>ES5-FABAAB</t>
  </si>
  <si>
    <t>ES5-FABAAU</t>
  </si>
  <si>
    <t>ES5-FADAAA</t>
  </si>
  <si>
    <t>ES5-FADAAB</t>
  </si>
  <si>
    <t>ES5-LABAJC</t>
  </si>
  <si>
    <t>ES5-FBDAAN</t>
  </si>
  <si>
    <t>ES5-FABAAC</t>
  </si>
  <si>
    <t>ES5-UABAAB</t>
  </si>
  <si>
    <t>ES5-UABAAM</t>
  </si>
  <si>
    <t>ES5-MA3AAM</t>
  </si>
  <si>
    <t>ES5-VA3AAM</t>
  </si>
  <si>
    <t>ES5-VA4AAM</t>
  </si>
  <si>
    <t>ES5-MA4AAM</t>
  </si>
  <si>
    <t>ES5-MB4AAN</t>
  </si>
  <si>
    <t>ES5-RA4AAM</t>
  </si>
  <si>
    <t>ES5-MA4AAA</t>
  </si>
  <si>
    <t>ES5-MA4AAB</t>
  </si>
  <si>
    <t>ES5-MA4AAN</t>
  </si>
  <si>
    <t>ES5-CA4AAC</t>
  </si>
  <si>
    <t>ES5-CA4AAM</t>
  </si>
  <si>
    <t>ES5-CA4AAN</t>
  </si>
  <si>
    <t>ES5-CA4AAA</t>
  </si>
  <si>
    <t>ES5-CA4AAB</t>
  </si>
  <si>
    <t>ES5-CA4AAU</t>
  </si>
  <si>
    <t>ES5-GA5AAM</t>
  </si>
  <si>
    <t>ES5-SA5AAM</t>
  </si>
  <si>
    <t>ES5-GA5AAA</t>
  </si>
  <si>
    <t>ES5-GA5AAB</t>
  </si>
  <si>
    <t>ES5-TUMAA0</t>
  </si>
  <si>
    <t>ES5-AA2AA0</t>
  </si>
  <si>
    <t>ES5-BABAA0</t>
  </si>
  <si>
    <t>ES5-NBEAAB</t>
  </si>
  <si>
    <t>ES5-QAEAAM</t>
  </si>
  <si>
    <t>ES5-KA8AIA</t>
  </si>
  <si>
    <t>ES5-KA8AIU</t>
  </si>
  <si>
    <t>ES5-JA2AIA</t>
  </si>
  <si>
    <t>ES5-JA2AIU</t>
  </si>
  <si>
    <t>ES5-LABAIA</t>
  </si>
  <si>
    <t>ES5-LABAIU</t>
  </si>
  <si>
    <t>ES5-KA8AJA</t>
  </si>
  <si>
    <t>ES5-KA8AJU</t>
  </si>
  <si>
    <t>ES5-YA8AJA</t>
  </si>
  <si>
    <t>ES5-YA8AJU</t>
  </si>
  <si>
    <t>ES5-EA2AJA</t>
  </si>
  <si>
    <t>ES5-EA2AJU</t>
  </si>
  <si>
    <t>ES5-JA2AJA</t>
  </si>
  <si>
    <t>ES5-PA2AJU</t>
  </si>
  <si>
    <t>ES5-JA2AJU</t>
  </si>
  <si>
    <t>ES5-FABAJA</t>
  </si>
  <si>
    <t>ES5-FABAJB</t>
  </si>
  <si>
    <t>ES5-FABAJU</t>
  </si>
  <si>
    <t>ES5-LABAJA</t>
  </si>
  <si>
    <t>ES5-LABAJB</t>
  </si>
  <si>
    <t>ES5-LABAJU</t>
  </si>
  <si>
    <t>ES5-YA8AKA</t>
  </si>
  <si>
    <t>ES5-EA2AKA</t>
  </si>
  <si>
    <t>ES5-KA1AHA</t>
  </si>
  <si>
    <t>ES5-KA8AHA</t>
  </si>
  <si>
    <t>ES5-JA2AHA</t>
  </si>
  <si>
    <t>Catalina</t>
  </si>
  <si>
    <t>ES-5711</t>
  </si>
  <si>
    <t>ES-5710</t>
  </si>
  <si>
    <t>ES-5710-E</t>
  </si>
  <si>
    <t>ES-5700</t>
  </si>
  <si>
    <t>ES-5700-B</t>
  </si>
  <si>
    <t>ES-5700-C</t>
  </si>
  <si>
    <t>ES-5700-E</t>
  </si>
  <si>
    <t>ES-5700-F</t>
  </si>
  <si>
    <t>ES-5700-H</t>
  </si>
  <si>
    <t>ES-5700-J-50</t>
  </si>
  <si>
    <t>ES-5700-J-60</t>
  </si>
  <si>
    <t>ES-5700-M</t>
  </si>
  <si>
    <t>ES-5710-F</t>
  </si>
  <si>
    <t>ES-5710-M</t>
  </si>
  <si>
    <t>ES-5411</t>
  </si>
  <si>
    <t>ES-5410</t>
  </si>
  <si>
    <t>ES-5400</t>
  </si>
  <si>
    <t>ES-5400-B</t>
  </si>
  <si>
    <t>ES-5400-C</t>
  </si>
  <si>
    <t>ES-5400-M</t>
  </si>
  <si>
    <t>Keeylocko</t>
  </si>
  <si>
    <t>ES75-30041</t>
  </si>
  <si>
    <t>ES75-30040</t>
  </si>
  <si>
    <t>ES75-22531</t>
  </si>
  <si>
    <t>ES75-22530</t>
  </si>
  <si>
    <t>ES75-15021</t>
  </si>
  <si>
    <t>ES75-15020</t>
  </si>
  <si>
    <t>rating</t>
  </si>
  <si>
    <t>I</t>
  </si>
  <si>
    <t>EXISTING SITE</t>
  </si>
  <si>
    <t>site code</t>
  </si>
  <si>
    <t>II</t>
  </si>
  <si>
    <t>Gen3</t>
  </si>
  <si>
    <t>Gen4</t>
  </si>
  <si>
    <t>nameplate</t>
  </si>
  <si>
    <t>server number</t>
  </si>
  <si>
    <t>filled</t>
  </si>
  <si>
    <t>empty</t>
  </si>
  <si>
    <t>total</t>
  </si>
  <si>
    <t>energy servers</t>
  </si>
  <si>
    <t>power modules</t>
  </si>
  <si>
    <t>NEW SITE</t>
  </si>
  <si>
    <t>TWEAKS</t>
  </si>
  <si>
    <t>start</t>
  </si>
  <si>
    <t>end</t>
  </si>
  <si>
    <t>non-replacing years</t>
  </si>
  <si>
    <t>ES-5711X</t>
  </si>
  <si>
    <t>ES-5711XX</t>
  </si>
  <si>
    <t>cumulative guarantee</t>
  </si>
  <si>
    <t>windowed guarantee</t>
  </si>
  <si>
    <t>periodic warranty</t>
  </si>
  <si>
    <t>TMO</t>
  </si>
  <si>
    <t>efficiency</t>
  </si>
  <si>
    <t>TECHNOLOGY</t>
  </si>
  <si>
    <t>model number</t>
  </si>
  <si>
    <t>contract financing</t>
  </si>
  <si>
    <t>target size</t>
  </si>
  <si>
    <t>multiplier</t>
  </si>
  <si>
    <t>kw</t>
  </si>
  <si>
    <t>model_number</t>
  </si>
  <si>
    <t>enclosures</t>
  </si>
  <si>
    <t>plus_one</t>
  </si>
  <si>
    <t>standard</t>
  </si>
  <si>
    <t>ES-XXX</t>
  </si>
  <si>
    <t>initial_date</t>
  </si>
  <si>
    <t>stacks</t>
  </si>
  <si>
    <t>2014-01-01</t>
  </si>
  <si>
    <t>8,6</t>
  </si>
  <si>
    <t>I_old</t>
  </si>
  <si>
    <t>2016-01-01</t>
  </si>
  <si>
    <t>8</t>
  </si>
  <si>
    <t>2020-01-01</t>
  </si>
  <si>
    <t>II_old</t>
  </si>
  <si>
    <t>2021-01-01</t>
  </si>
  <si>
    <t>III</t>
  </si>
  <si>
    <t>III_old</t>
  </si>
  <si>
    <t>2023-01-01</t>
  </si>
  <si>
    <t>IV</t>
  </si>
  <si>
    <t>IV_old</t>
  </si>
  <si>
    <t>2025-01-01</t>
  </si>
  <si>
    <t>V</t>
  </si>
  <si>
    <t>V_old</t>
  </si>
  <si>
    <t>2027-01-01</t>
  </si>
  <si>
    <t>VI</t>
  </si>
  <si>
    <t>VI_old</t>
  </si>
  <si>
    <t>2029-01-01</t>
  </si>
  <si>
    <t>I-ASRD6</t>
  </si>
  <si>
    <t>2024-01-01</t>
  </si>
  <si>
    <t>III-ASRD6</t>
  </si>
  <si>
    <t>IV-ASRD6</t>
  </si>
  <si>
    <t>2026-01-01</t>
  </si>
  <si>
    <t>V-ASRD6</t>
  </si>
  <si>
    <t>2028-01-01</t>
  </si>
  <si>
    <t>VI-ASRD6</t>
  </si>
  <si>
    <t>2030-01-01</t>
  </si>
  <si>
    <t>I-HPD</t>
  </si>
  <si>
    <t>I-6yr</t>
  </si>
  <si>
    <t>I-30B</t>
  </si>
  <si>
    <t>I-40B</t>
  </si>
  <si>
    <t>I-65HP</t>
  </si>
  <si>
    <t>I-5_Albert</t>
  </si>
  <si>
    <t>2015-01-01</t>
  </si>
  <si>
    <t>I-H2</t>
  </si>
  <si>
    <t>2031-01-01</t>
  </si>
  <si>
    <t>2023-06-01</t>
  </si>
  <si>
    <t>II-Pathfinder_1</t>
  </si>
  <si>
    <t>II-Pathfinder_2</t>
  </si>
  <si>
    <t>II-Pathfinder_3</t>
  </si>
  <si>
    <t>II-Pathfinder_4</t>
  </si>
  <si>
    <t>II-Pathfinder_5</t>
  </si>
  <si>
    <t>II-capped</t>
  </si>
  <si>
    <t>SQL Modules Datasheet</t>
  </si>
  <si>
    <t>...</t>
  </si>
  <si>
    <t>Servers Dropdown 1</t>
  </si>
  <si>
    <t>SQL Servers Datasheet</t>
  </si>
  <si>
    <t>Servers Dropdown 2</t>
  </si>
  <si>
    <t>Modules Dropdown 1</t>
  </si>
  <si>
    <t>Modules Dropdown 2</t>
  </si>
  <si>
    <t>Modules Dropdown 3</t>
  </si>
  <si>
    <t>id</t>
  </si>
  <si>
    <t>customer</t>
  </si>
  <si>
    <t>GLD008.0</t>
  </si>
  <si>
    <t>Gilead</t>
  </si>
  <si>
    <t>SKK002.0</t>
  </si>
  <si>
    <t>SK E&amp;C</t>
  </si>
  <si>
    <t>RED000.K</t>
  </si>
  <si>
    <t>Delmarva</t>
  </si>
  <si>
    <t>RED000.E</t>
  </si>
  <si>
    <t>KSR074.B</t>
  </si>
  <si>
    <t>Kaiser Permanente</t>
  </si>
  <si>
    <t>RED000.J</t>
  </si>
  <si>
    <t>RED000.H</t>
  </si>
  <si>
    <t>TLR001.0</t>
  </si>
  <si>
    <t>Taylor Farms</t>
  </si>
  <si>
    <t>COX002.0</t>
  </si>
  <si>
    <t>Cox Enterprises</t>
  </si>
  <si>
    <t>RMR000.0</t>
  </si>
  <si>
    <t>Ramar Foods</t>
  </si>
  <si>
    <t>KSR014.0</t>
  </si>
  <si>
    <t>RED000.G</t>
  </si>
  <si>
    <t>KSR017.0</t>
  </si>
  <si>
    <t>KSR058.0</t>
  </si>
  <si>
    <t>KSR044.0</t>
  </si>
  <si>
    <t>HDP157.0</t>
  </si>
  <si>
    <t>Home Depot</t>
  </si>
  <si>
    <t>EXN001.0</t>
  </si>
  <si>
    <t>Extreme Networks</t>
  </si>
  <si>
    <t>EXN000.0</t>
  </si>
  <si>
    <t>CTC013.0</t>
  </si>
  <si>
    <t>Costco</t>
  </si>
  <si>
    <t>TKD000.B</t>
  </si>
  <si>
    <t>Takeda</t>
  </si>
  <si>
    <t>TKD000.A</t>
  </si>
  <si>
    <t>SRK000.0</t>
  </si>
  <si>
    <t>Sharks Sports and Entertainment</t>
  </si>
  <si>
    <t>RAT000.0</t>
  </si>
  <si>
    <t>Ratkovich</t>
  </si>
  <si>
    <t>IIV000.A</t>
  </si>
  <si>
    <t>II-VI</t>
  </si>
  <si>
    <t>HDP106.0</t>
  </si>
  <si>
    <t>HDP136.0</t>
  </si>
  <si>
    <t>SCO002.0</t>
  </si>
  <si>
    <t>Southern Company</t>
  </si>
  <si>
    <t>KSE000.A</t>
  </si>
  <si>
    <t>Korea South-East Power Co</t>
  </si>
  <si>
    <t>HDP093.0</t>
  </si>
  <si>
    <t>SCU000.A</t>
  </si>
  <si>
    <t>Santa Clara Univ</t>
  </si>
  <si>
    <t>HDP044.0</t>
  </si>
  <si>
    <t>EQX011.C</t>
  </si>
  <si>
    <t>Equinix</t>
  </si>
  <si>
    <t>HDP110.0</t>
  </si>
  <si>
    <t>HDP053.0</t>
  </si>
  <si>
    <t>HDP089.0</t>
  </si>
  <si>
    <t>KSR022.0</t>
  </si>
  <si>
    <t>AGT000.0</t>
  </si>
  <si>
    <t>Agilent</t>
  </si>
  <si>
    <t>NHH003.0</t>
  </si>
  <si>
    <t>Kings County Hospital NY</t>
  </si>
  <si>
    <t>HDP145.0</t>
  </si>
  <si>
    <t>HDP050.0</t>
  </si>
  <si>
    <t>TLR000.A</t>
  </si>
  <si>
    <t>KSR060.0</t>
  </si>
  <si>
    <t>NHH005.0</t>
  </si>
  <si>
    <t>NHH004.0</t>
  </si>
  <si>
    <t>NHH002.0</t>
  </si>
  <si>
    <t>OMH000.0</t>
  </si>
  <si>
    <t>Kingsboro Psychiatric Center</t>
  </si>
  <si>
    <t>XLX001.0</t>
  </si>
  <si>
    <t>Xilinx</t>
  </si>
  <si>
    <t>GFA000.0</t>
  </si>
  <si>
    <t>Georg Fischer Harvel Division</t>
  </si>
  <si>
    <t>HDP087.0</t>
  </si>
  <si>
    <t>KSR053.0</t>
  </si>
  <si>
    <t>SDM000.0</t>
  </si>
  <si>
    <t>SUNY Downstate Medical</t>
  </si>
  <si>
    <t>HDP081.0</t>
  </si>
  <si>
    <t>NTL005.0</t>
  </si>
  <si>
    <t>Intel</t>
  </si>
  <si>
    <t>NTL002.C</t>
  </si>
  <si>
    <t>KSR028.0</t>
  </si>
  <si>
    <t>KSE000.B</t>
  </si>
  <si>
    <t>EQX011.B</t>
  </si>
  <si>
    <t>NTL004.0</t>
  </si>
  <si>
    <t>HDP166.0</t>
  </si>
  <si>
    <t>CTC012.0</t>
  </si>
  <si>
    <t>DKK000.0</t>
  </si>
  <si>
    <t>DKKK Japan - Daiichi Kigenso Kagaku Kogyo CO., LTD</t>
  </si>
  <si>
    <t>EQX015.A</t>
  </si>
  <si>
    <t>EQX014.B</t>
  </si>
  <si>
    <t>EQX014.A</t>
  </si>
  <si>
    <t>SDC000.0</t>
  </si>
  <si>
    <t>San Diego Community College District</t>
  </si>
  <si>
    <t>SRK001.0</t>
  </si>
  <si>
    <t>HDP165.0</t>
  </si>
  <si>
    <t>MDC002.B</t>
  </si>
  <si>
    <t>Medtronic</t>
  </si>
  <si>
    <t>SNM003.0</t>
  </si>
  <si>
    <t>Sanmina</t>
  </si>
  <si>
    <t>HDP142.0</t>
  </si>
  <si>
    <t>SNM001.0</t>
  </si>
  <si>
    <t>EQX001.B</t>
  </si>
  <si>
    <t>HDP078.0</t>
  </si>
  <si>
    <t>EQX013.B</t>
  </si>
  <si>
    <t>EQX009.0</t>
  </si>
  <si>
    <t>EQX002.0</t>
  </si>
  <si>
    <t>KSR023.0</t>
  </si>
  <si>
    <t>KSR059.0</t>
  </si>
  <si>
    <t>ATA007.0</t>
  </si>
  <si>
    <t>AT&amp;T</t>
  </si>
  <si>
    <t>TJX001.0</t>
  </si>
  <si>
    <t>The TJX Companies, Inc</t>
  </si>
  <si>
    <t>KSR029.0</t>
  </si>
  <si>
    <t>KSR011.0</t>
  </si>
  <si>
    <t>SMC001.0</t>
  </si>
  <si>
    <t>Super Micro Computer, Inc</t>
  </si>
  <si>
    <t>ATT087.0</t>
  </si>
  <si>
    <t>APP011.B</t>
  </si>
  <si>
    <t>Apple</t>
  </si>
  <si>
    <t>APP011.D</t>
  </si>
  <si>
    <t>KSR018.A</t>
  </si>
  <si>
    <t>HDD086.0</t>
  </si>
  <si>
    <t>ATT093.0</t>
  </si>
  <si>
    <t>MDC002.A</t>
  </si>
  <si>
    <t>KSR039.0</t>
  </si>
  <si>
    <t>KSR016.0</t>
  </si>
  <si>
    <t>HDP010.0</t>
  </si>
  <si>
    <t>HDD050.0</t>
  </si>
  <si>
    <t>FDX007.0</t>
  </si>
  <si>
    <t>FedEx</t>
  </si>
  <si>
    <t>BLD001.0</t>
  </si>
  <si>
    <t>Stanley Black &amp; Decker</t>
  </si>
  <si>
    <t>EQX008.0</t>
  </si>
  <si>
    <t>APP011.C</t>
  </si>
  <si>
    <t>ATT065.0</t>
  </si>
  <si>
    <t>ATT090.0</t>
  </si>
  <si>
    <t>APP011.A</t>
  </si>
  <si>
    <t>ATA016.0</t>
  </si>
  <si>
    <t>KSR024.0</t>
  </si>
  <si>
    <t>ATT076.0</t>
  </si>
  <si>
    <t>ATA015.0</t>
  </si>
  <si>
    <t>DSY001.0</t>
  </si>
  <si>
    <t>Disney</t>
  </si>
  <si>
    <t>KSE000.C</t>
  </si>
  <si>
    <t>ATA006.0</t>
  </si>
  <si>
    <t>KSR025.0</t>
  </si>
  <si>
    <t>HDP075.0</t>
  </si>
  <si>
    <t>EQX013.A</t>
  </si>
  <si>
    <t>ATT078.0</t>
  </si>
  <si>
    <t>ATA005.0</t>
  </si>
  <si>
    <t>HOM096.0</t>
  </si>
  <si>
    <t>MER001.0</t>
  </si>
  <si>
    <t>Macerich</t>
  </si>
  <si>
    <t>ATT086.0</t>
  </si>
  <si>
    <t>MER003.0</t>
  </si>
  <si>
    <t>HDP018.0</t>
  </si>
  <si>
    <t>ATT046.0</t>
  </si>
  <si>
    <t>ATT056.0</t>
  </si>
  <si>
    <t>ATA008.0</t>
  </si>
  <si>
    <t>ADB03</t>
  </si>
  <si>
    <t>Adobe</t>
  </si>
  <si>
    <t>ATT049.0</t>
  </si>
  <si>
    <t>HDP25</t>
  </si>
  <si>
    <t>HDD066.0</t>
  </si>
  <si>
    <t>KSR035.0</t>
  </si>
  <si>
    <t>POR000.0</t>
  </si>
  <si>
    <t>Porite</t>
  </si>
  <si>
    <t>USD000.0</t>
  </si>
  <si>
    <t>University of San Diego</t>
  </si>
  <si>
    <t>HOM085.0</t>
  </si>
  <si>
    <t>FLX000.0</t>
  </si>
  <si>
    <t>Flextronics</t>
  </si>
  <si>
    <t>IKA005.0</t>
  </si>
  <si>
    <t>IKEA</t>
  </si>
  <si>
    <t>ILM001.0</t>
  </si>
  <si>
    <t>Illumina</t>
  </si>
  <si>
    <t>HDP040.0</t>
  </si>
  <si>
    <t>SMC000.0</t>
  </si>
  <si>
    <t>HDP036.0</t>
  </si>
  <si>
    <t>RED000.F</t>
  </si>
  <si>
    <t>PHC003.0</t>
  </si>
  <si>
    <t>Prime Healthcare</t>
  </si>
  <si>
    <t>PHS010.0</t>
  </si>
  <si>
    <t>Partners Healthcare Spaulding Rehab</t>
  </si>
  <si>
    <t>KSR013.0</t>
  </si>
  <si>
    <t>HDP037.0</t>
  </si>
  <si>
    <t>HDP012.0</t>
  </si>
  <si>
    <t>HDP019.0</t>
  </si>
  <si>
    <t>ATT079.0</t>
  </si>
  <si>
    <t>HDP033.0</t>
  </si>
  <si>
    <t>KSR019.0</t>
  </si>
  <si>
    <t>HDP015.0</t>
  </si>
  <si>
    <t>MER002.0</t>
  </si>
  <si>
    <t>HDD053.0</t>
  </si>
  <si>
    <t>ATT054.0</t>
  </si>
  <si>
    <t>HDP052.0</t>
  </si>
  <si>
    <t>ATA012.0</t>
  </si>
  <si>
    <t>HDP029.0</t>
  </si>
  <si>
    <t>MER004.0</t>
  </si>
  <si>
    <t>HDD015.0</t>
  </si>
  <si>
    <t>ATA017.0</t>
  </si>
  <si>
    <t>COX000.0</t>
  </si>
  <si>
    <t>STP04</t>
  </si>
  <si>
    <t>Staples Inc.</t>
  </si>
  <si>
    <t>GGL00</t>
  </si>
  <si>
    <t>Google</t>
  </si>
  <si>
    <t>CTC011.0</t>
  </si>
  <si>
    <t>ATT21</t>
  </si>
  <si>
    <t>HOM083.0</t>
  </si>
  <si>
    <t>BLD002.0</t>
  </si>
  <si>
    <t>BLM000.2</t>
  </si>
  <si>
    <t>Bloom Energy</t>
  </si>
  <si>
    <t>HOM50</t>
  </si>
  <si>
    <t>HLD01</t>
  </si>
  <si>
    <t>Ahold</t>
  </si>
  <si>
    <t>KSR051.0</t>
  </si>
  <si>
    <t>HOM12</t>
  </si>
  <si>
    <t>HDP163.0</t>
  </si>
  <si>
    <t>OSK00</t>
  </si>
  <si>
    <t>Osaka Market</t>
  </si>
  <si>
    <t>IIV000.B</t>
  </si>
  <si>
    <t>HOM52</t>
  </si>
  <si>
    <t>ATT092.0</t>
  </si>
  <si>
    <t>HOM37</t>
  </si>
  <si>
    <t>HDP007.B</t>
  </si>
  <si>
    <t>ATT085.0</t>
  </si>
  <si>
    <t>NTL01</t>
  </si>
  <si>
    <t>NTL00</t>
  </si>
  <si>
    <t>HDP024.0</t>
  </si>
  <si>
    <t>HOM19</t>
  </si>
  <si>
    <t>HDD00</t>
  </si>
  <si>
    <t>HDD70</t>
  </si>
  <si>
    <t>HOM61</t>
  </si>
  <si>
    <t>LNK01</t>
  </si>
  <si>
    <t>LinkedIn</t>
  </si>
  <si>
    <t>HOM00</t>
  </si>
  <si>
    <t>HDD21</t>
  </si>
  <si>
    <t>ATA011.0</t>
  </si>
  <si>
    <t>HOM39</t>
  </si>
  <si>
    <t>HOM26</t>
  </si>
  <si>
    <t>HLD00</t>
  </si>
  <si>
    <t>KSR057.0</t>
  </si>
  <si>
    <t>ATA009.0</t>
  </si>
  <si>
    <t>ATA02</t>
  </si>
  <si>
    <t>ATT37</t>
  </si>
  <si>
    <t>HDP041.0</t>
  </si>
  <si>
    <t>HOM13</t>
  </si>
  <si>
    <t>WIL00</t>
  </si>
  <si>
    <t>Willams-Sonoma</t>
  </si>
  <si>
    <t>MDC00</t>
  </si>
  <si>
    <t>APP08</t>
  </si>
  <si>
    <t>PHC01</t>
  </si>
  <si>
    <t>HOM30</t>
  </si>
  <si>
    <t>HOM70</t>
  </si>
  <si>
    <t>EBY12</t>
  </si>
  <si>
    <t>eBay Inc.</t>
  </si>
  <si>
    <t>EBY04</t>
  </si>
  <si>
    <t>TGT01</t>
  </si>
  <si>
    <t>Target</t>
  </si>
  <si>
    <t>HDD25</t>
  </si>
  <si>
    <t>HDP042.0</t>
  </si>
  <si>
    <t>APP03</t>
  </si>
  <si>
    <t>HDP030.0</t>
  </si>
  <si>
    <t>URB00</t>
  </si>
  <si>
    <t>Urban Outfitters</t>
  </si>
  <si>
    <t>MGN00</t>
  </si>
  <si>
    <t>Morgan Stanley</t>
  </si>
  <si>
    <t>EQX001.A</t>
  </si>
  <si>
    <t>EBY08</t>
  </si>
  <si>
    <t>SVS00</t>
  </si>
  <si>
    <t>Savvis</t>
  </si>
  <si>
    <t>EQX005.0</t>
  </si>
  <si>
    <t>ATT057.0</t>
  </si>
  <si>
    <t>WAS00</t>
  </si>
  <si>
    <t>Washington Gas</t>
  </si>
  <si>
    <t>ATA004.0</t>
  </si>
  <si>
    <t>ATT32</t>
  </si>
  <si>
    <t>ROL02</t>
  </si>
  <si>
    <t>Roll Global</t>
  </si>
  <si>
    <t>HOM14</t>
  </si>
  <si>
    <t>HOM25</t>
  </si>
  <si>
    <t>WAL34</t>
  </si>
  <si>
    <t>Walmart</t>
  </si>
  <si>
    <t>ATT25</t>
  </si>
  <si>
    <t>SCC01</t>
  </si>
  <si>
    <t>County of Santa Clara</t>
  </si>
  <si>
    <t>HOM03</t>
  </si>
  <si>
    <t>JPM00</t>
  </si>
  <si>
    <t>JP Morgan</t>
  </si>
  <si>
    <t>PHC004.0</t>
  </si>
  <si>
    <t>HDD049.0</t>
  </si>
  <si>
    <t>ATT067.0</t>
  </si>
  <si>
    <t>KSR074.A</t>
  </si>
  <si>
    <t>HOM55</t>
  </si>
  <si>
    <t>DFM00</t>
  </si>
  <si>
    <t>SBK00</t>
  </si>
  <si>
    <t>Starbucks</t>
  </si>
  <si>
    <t>WMT16</t>
  </si>
  <si>
    <t>HOM40</t>
  </si>
  <si>
    <t>WAL23</t>
  </si>
  <si>
    <t>NOK00</t>
  </si>
  <si>
    <t>Nokia</t>
  </si>
  <si>
    <t>HDP094.0</t>
  </si>
  <si>
    <t>KSR034.0</t>
  </si>
  <si>
    <t>KSR73</t>
  </si>
  <si>
    <t>HOM04</t>
  </si>
  <si>
    <t>RED000.P</t>
  </si>
  <si>
    <t>BLD000.0</t>
  </si>
  <si>
    <t>SCE00</t>
  </si>
  <si>
    <t>Southern California Edison</t>
  </si>
  <si>
    <t>HDP149.0</t>
  </si>
  <si>
    <t>ATT064.0</t>
  </si>
  <si>
    <t>ATT99</t>
  </si>
  <si>
    <t>KST000.A</t>
  </si>
  <si>
    <t>Keysight</t>
  </si>
  <si>
    <t>ATA010.0</t>
  </si>
  <si>
    <t>KEI00</t>
  </si>
  <si>
    <t>Keio University</t>
  </si>
  <si>
    <t>HOM23</t>
  </si>
  <si>
    <t>WAL36</t>
  </si>
  <si>
    <t>WAL39</t>
  </si>
  <si>
    <t>HDD56</t>
  </si>
  <si>
    <t>HOM54</t>
  </si>
  <si>
    <t>EQX015.B</t>
  </si>
  <si>
    <t>PNS00</t>
  </si>
  <si>
    <t>Panasonic Avionics</t>
  </si>
  <si>
    <t>HDD051.0</t>
  </si>
  <si>
    <t>KSR69</t>
  </si>
  <si>
    <t>BLM00</t>
  </si>
  <si>
    <t>HOM41</t>
  </si>
  <si>
    <t>STH00</t>
  </si>
  <si>
    <t>Sutter Health</t>
  </si>
  <si>
    <t>WAL38</t>
  </si>
  <si>
    <t>HOM59</t>
  </si>
  <si>
    <t>HYT00</t>
  </si>
  <si>
    <t>Hyatt</t>
  </si>
  <si>
    <t>HOM06</t>
  </si>
  <si>
    <t>HDD71</t>
  </si>
  <si>
    <t>WAL32</t>
  </si>
  <si>
    <t>KSR018.B</t>
  </si>
  <si>
    <t>BRK02</t>
  </si>
  <si>
    <t>ATT31</t>
  </si>
  <si>
    <t>ROL08</t>
  </si>
  <si>
    <t>CYP1</t>
  </si>
  <si>
    <t>Cypress Semiconductor</t>
  </si>
  <si>
    <t>HDP109.0</t>
  </si>
  <si>
    <t>WAL76</t>
  </si>
  <si>
    <t>ATT075.0</t>
  </si>
  <si>
    <t>HDP023.0</t>
  </si>
  <si>
    <t>ATT35</t>
  </si>
  <si>
    <t>HDD76</t>
  </si>
  <si>
    <t>YAH00</t>
  </si>
  <si>
    <t>Yahoo</t>
  </si>
  <si>
    <t>BMR000.0</t>
  </si>
  <si>
    <t>BioMed Realty</t>
  </si>
  <si>
    <t>VZN03</t>
  </si>
  <si>
    <t>Verizon</t>
  </si>
  <si>
    <t>HOM42</t>
  </si>
  <si>
    <t>WAL24</t>
  </si>
  <si>
    <t>ATT30</t>
  </si>
  <si>
    <t>WAL33</t>
  </si>
  <si>
    <t>HDP115.0</t>
  </si>
  <si>
    <t>HDD31</t>
  </si>
  <si>
    <t>RED02</t>
  </si>
  <si>
    <t>STR00</t>
  </si>
  <si>
    <t>Sutter Home Winery</t>
  </si>
  <si>
    <t>ROL07</t>
  </si>
  <si>
    <t>HOM32</t>
  </si>
  <si>
    <t>IKA01</t>
  </si>
  <si>
    <t>ATT26</t>
  </si>
  <si>
    <t>HMH000.0</t>
  </si>
  <si>
    <t>Hoag Memorial Hospital Presbyterian</t>
  </si>
  <si>
    <t>HOM57</t>
  </si>
  <si>
    <t>HOM64</t>
  </si>
  <si>
    <t>FDX01</t>
  </si>
  <si>
    <t>WMT51</t>
  </si>
  <si>
    <t>GEN004.0</t>
  </si>
  <si>
    <t>Genentech</t>
  </si>
  <si>
    <t>ROL04</t>
  </si>
  <si>
    <t>MER005.0</t>
  </si>
  <si>
    <t>VRS00</t>
  </si>
  <si>
    <t>Americold</t>
  </si>
  <si>
    <t>ATT00</t>
  </si>
  <si>
    <t>HOM35</t>
  </si>
  <si>
    <t>IBM00</t>
  </si>
  <si>
    <t>IBM</t>
  </si>
  <si>
    <t>HOM24</t>
  </si>
  <si>
    <t>ATT15</t>
  </si>
  <si>
    <t>HOM38</t>
  </si>
  <si>
    <t>HOM51</t>
  </si>
  <si>
    <t>WAL42</t>
  </si>
  <si>
    <t>ATT16</t>
  </si>
  <si>
    <t>AHM001.0</t>
  </si>
  <si>
    <t>Anaheim Ducks</t>
  </si>
  <si>
    <t>WAL26</t>
  </si>
  <si>
    <t>HDD064.0</t>
  </si>
  <si>
    <t>HOM46</t>
  </si>
  <si>
    <t>WAL9</t>
  </si>
  <si>
    <t>HDP016.0</t>
  </si>
  <si>
    <t>KSR68</t>
  </si>
  <si>
    <t>APP0</t>
  </si>
  <si>
    <t>PAC00</t>
  </si>
  <si>
    <t>Pacific Cheese</t>
  </si>
  <si>
    <t>ATT24</t>
  </si>
  <si>
    <t>TGT00</t>
  </si>
  <si>
    <t>ROL06</t>
  </si>
  <si>
    <t>HDP034.0</t>
  </si>
  <si>
    <t>HOM48</t>
  </si>
  <si>
    <t>ATT069.0</t>
  </si>
  <si>
    <t>APP05</t>
  </si>
  <si>
    <t>MDC001.A</t>
  </si>
  <si>
    <t>ATT14</t>
  </si>
  <si>
    <t>ATT17</t>
  </si>
  <si>
    <t>HDD014.0</t>
  </si>
  <si>
    <t>NTL003.B</t>
  </si>
  <si>
    <t>OWE00</t>
  </si>
  <si>
    <t>Owens Corning</t>
  </si>
  <si>
    <t>HDD55</t>
  </si>
  <si>
    <t>ATT41</t>
  </si>
  <si>
    <t>KSR70</t>
  </si>
  <si>
    <t>SFB01</t>
  </si>
  <si>
    <t>SoftBank</t>
  </si>
  <si>
    <t>DGR000.A</t>
  </si>
  <si>
    <t>Digital Realty Trust</t>
  </si>
  <si>
    <t>ATT39</t>
  </si>
  <si>
    <t>HOM73</t>
  </si>
  <si>
    <t>MXM00</t>
  </si>
  <si>
    <t>Maxim Integrated</t>
  </si>
  <si>
    <t>VZN02</t>
  </si>
  <si>
    <t>HOM11</t>
  </si>
  <si>
    <t>WAL7</t>
  </si>
  <si>
    <t>LNK00</t>
  </si>
  <si>
    <t>SFW0</t>
  </si>
  <si>
    <t>Safeway</t>
  </si>
  <si>
    <t>HNS00</t>
  </si>
  <si>
    <t>Hines</t>
  </si>
  <si>
    <t>ATT27</t>
  </si>
  <si>
    <t>HOM10</t>
  </si>
  <si>
    <t>ADB02</t>
  </si>
  <si>
    <t>WMT59</t>
  </si>
  <si>
    <t>ATT066.0</t>
  </si>
  <si>
    <t>APP07</t>
  </si>
  <si>
    <t>ACT00</t>
  </si>
  <si>
    <t>AC Transit</t>
  </si>
  <si>
    <t>HOM77</t>
  </si>
  <si>
    <t>AEG00</t>
  </si>
  <si>
    <t>AEG - Staples Center</t>
  </si>
  <si>
    <t>SNL002.0</t>
  </si>
  <si>
    <t>Silverman &amp; Light</t>
  </si>
  <si>
    <t>ADB04</t>
  </si>
  <si>
    <t>RED00</t>
  </si>
  <si>
    <t>HDD092.0</t>
  </si>
  <si>
    <t>CMC00</t>
  </si>
  <si>
    <t>Comcast</t>
  </si>
  <si>
    <t>APP01</t>
  </si>
  <si>
    <t>PHC00</t>
  </si>
  <si>
    <t>EQX000.0</t>
  </si>
  <si>
    <t>WMT50</t>
  </si>
  <si>
    <t>LFT01</t>
  </si>
  <si>
    <t>Life Technologies</t>
  </si>
  <si>
    <t>IKA002.0</t>
  </si>
  <si>
    <t>HOM02</t>
  </si>
  <si>
    <t>JAJ00</t>
  </si>
  <si>
    <t>Johnson and Johnson</t>
  </si>
  <si>
    <t>ATT33</t>
  </si>
  <si>
    <t>ATT34</t>
  </si>
  <si>
    <t>JAJ01</t>
  </si>
  <si>
    <t>APP02</t>
  </si>
  <si>
    <t>AMZ00</t>
  </si>
  <si>
    <t>Amazon</t>
  </si>
  <si>
    <t>AHM00</t>
  </si>
  <si>
    <t>HOM081.0</t>
  </si>
  <si>
    <t>HDP112.0</t>
  </si>
  <si>
    <t>APP09</t>
  </si>
  <si>
    <t>EQX003.0</t>
  </si>
  <si>
    <t>WMT11</t>
  </si>
  <si>
    <t>CTC015.0</t>
  </si>
  <si>
    <t>EBY0</t>
  </si>
  <si>
    <t>WAL1</t>
  </si>
  <si>
    <t>COX01</t>
  </si>
  <si>
    <t>JSR000.0</t>
  </si>
  <si>
    <t>JSR Micro</t>
  </si>
  <si>
    <t>COK01</t>
  </si>
  <si>
    <t>Coca-Cola</t>
  </si>
  <si>
    <t>SCC00</t>
  </si>
  <si>
    <t>MAC02</t>
  </si>
  <si>
    <t>Macy's</t>
  </si>
  <si>
    <t>HDD65</t>
  </si>
  <si>
    <t>ATT19</t>
  </si>
  <si>
    <t>HDD083.0</t>
  </si>
  <si>
    <t>ATT074.0</t>
  </si>
  <si>
    <t>SFB00</t>
  </si>
  <si>
    <t>AGT001.0</t>
  </si>
  <si>
    <t>CTC009.0</t>
  </si>
  <si>
    <t>IKA008.0</t>
  </si>
  <si>
    <t>EBY13</t>
  </si>
  <si>
    <t>WAL8</t>
  </si>
  <si>
    <t>HDP147.0</t>
  </si>
  <si>
    <t>JMB00</t>
  </si>
  <si>
    <t>JMB Realty Corp.</t>
  </si>
  <si>
    <t>STR01</t>
  </si>
  <si>
    <t>WAL31</t>
  </si>
  <si>
    <t>GEN01</t>
  </si>
  <si>
    <t>ATT23</t>
  </si>
  <si>
    <t>INT00</t>
  </si>
  <si>
    <t>Intuit</t>
  </si>
  <si>
    <t>ATA014.0</t>
  </si>
  <si>
    <t>JPR00</t>
  </si>
  <si>
    <t>Juniper Networks</t>
  </si>
  <si>
    <t>ATT45</t>
  </si>
  <si>
    <t>HOM05</t>
  </si>
  <si>
    <t>LFT00</t>
  </si>
  <si>
    <t>WAL29</t>
  </si>
  <si>
    <t>WMT12</t>
  </si>
  <si>
    <t>HDD079.0</t>
  </si>
  <si>
    <t>HDP141.0</t>
  </si>
  <si>
    <t>HOM071.0</t>
  </si>
  <si>
    <t>ATT12</t>
  </si>
  <si>
    <t>LOK00</t>
  </si>
  <si>
    <t>Lockheed Martin</t>
  </si>
  <si>
    <t>ATT22</t>
  </si>
  <si>
    <t>HOM63</t>
  </si>
  <si>
    <t>LMD000.0</t>
  </si>
  <si>
    <t>L+M Development Partners</t>
  </si>
  <si>
    <t>BOA0</t>
  </si>
  <si>
    <t>Bank of America</t>
  </si>
  <si>
    <t>PGE00</t>
  </si>
  <si>
    <t>PG&amp;E</t>
  </si>
  <si>
    <t>EBY03</t>
  </si>
  <si>
    <t>HOM17</t>
  </si>
  <si>
    <t>HOM08</t>
  </si>
  <si>
    <t>KSR061.0</t>
  </si>
  <si>
    <t>HDD046.0</t>
  </si>
  <si>
    <t>WMT53</t>
  </si>
  <si>
    <t>RED01</t>
  </si>
  <si>
    <t>HDD044.0</t>
  </si>
  <si>
    <t>TLM00</t>
  </si>
  <si>
    <t>TaylorMade-adidas</t>
  </si>
  <si>
    <t>ATT97</t>
  </si>
  <si>
    <t>WAL30</t>
  </si>
  <si>
    <t>KSR72</t>
  </si>
  <si>
    <t>ATT053.0</t>
  </si>
  <si>
    <t>SCC02</t>
  </si>
  <si>
    <t>HOM89</t>
  </si>
  <si>
    <t>LIU000.0</t>
  </si>
  <si>
    <t>Long Island University</t>
  </si>
  <si>
    <t>CTC010.0</t>
  </si>
  <si>
    <t>ATT058.0</t>
  </si>
  <si>
    <t>ATA013.0</t>
  </si>
  <si>
    <t>ROL00</t>
  </si>
  <si>
    <t>KSR055.0</t>
  </si>
  <si>
    <t>EQX010.A</t>
  </si>
  <si>
    <t>VZN01</t>
  </si>
  <si>
    <t>BRK01</t>
  </si>
  <si>
    <t>WAL41</t>
  </si>
  <si>
    <t>HOM34</t>
  </si>
  <si>
    <t>CMC01</t>
  </si>
  <si>
    <t>PXR00</t>
  </si>
  <si>
    <t>Pixar</t>
  </si>
  <si>
    <t>CSS00</t>
  </si>
  <si>
    <t>Credit Suisse</t>
  </si>
  <si>
    <t>RED03</t>
  </si>
  <si>
    <t>WAL19</t>
  </si>
  <si>
    <t>WAL21</t>
  </si>
  <si>
    <t>WAL27</t>
  </si>
  <si>
    <t>ATA003.0</t>
  </si>
  <si>
    <t>HOM27</t>
  </si>
  <si>
    <t>FTC000.0</t>
  </si>
  <si>
    <t>Frontier Communications</t>
  </si>
  <si>
    <t>HOM18</t>
  </si>
  <si>
    <t>HON00</t>
  </si>
  <si>
    <t>Honda</t>
  </si>
  <si>
    <t>ATT38</t>
  </si>
  <si>
    <t>HOM29</t>
  </si>
  <si>
    <t>ATT98</t>
  </si>
  <si>
    <t>HOM56</t>
  </si>
  <si>
    <t>BHS00</t>
  </si>
  <si>
    <t>Baker Hughes</t>
  </si>
  <si>
    <t>HOM58</t>
  </si>
  <si>
    <t>HOM49</t>
  </si>
  <si>
    <t>HDD10</t>
  </si>
  <si>
    <t>APP04</t>
  </si>
  <si>
    <t>HOM20</t>
  </si>
  <si>
    <t>HDP099.0</t>
  </si>
  <si>
    <t>HOM21</t>
  </si>
  <si>
    <t>WMT13</t>
  </si>
  <si>
    <t>HDP043.0</t>
  </si>
  <si>
    <t>WAL0</t>
  </si>
  <si>
    <t>MGN001.0</t>
  </si>
  <si>
    <t>CLT03</t>
  </si>
  <si>
    <t>Caltech</t>
  </si>
  <si>
    <t>HDD016.0</t>
  </si>
  <si>
    <t>HOM22</t>
  </si>
  <si>
    <t>HOM47</t>
  </si>
  <si>
    <t>EQX012.0</t>
  </si>
  <si>
    <t>HOM44</t>
  </si>
  <si>
    <t>HOM079.0</t>
  </si>
  <si>
    <t>HDD94</t>
  </si>
  <si>
    <t>WAL22</t>
  </si>
  <si>
    <t>ATT044.0</t>
  </si>
  <si>
    <t>KLG00</t>
  </si>
  <si>
    <t>Kellogg Co.</t>
  </si>
  <si>
    <t>HDD22</t>
  </si>
  <si>
    <t>WMT20</t>
  </si>
  <si>
    <t>DRM00</t>
  </si>
  <si>
    <t>Dreamworks Animation</t>
  </si>
  <si>
    <t>ATT068.0</t>
  </si>
  <si>
    <t>HOM65</t>
  </si>
  <si>
    <t>WMT028.0</t>
  </si>
  <si>
    <t>ATT040.0</t>
  </si>
  <si>
    <t>WAL4</t>
  </si>
  <si>
    <t>HDD068.0</t>
  </si>
  <si>
    <t>WMT07</t>
  </si>
  <si>
    <t>WAL50</t>
  </si>
  <si>
    <t>HDD26</t>
  </si>
  <si>
    <t>HDD27</t>
  </si>
  <si>
    <t>NTL003.A</t>
  </si>
  <si>
    <t>HDD05</t>
  </si>
  <si>
    <t>GEN005.0</t>
  </si>
  <si>
    <t>WMT10</t>
  </si>
  <si>
    <t>SCC03</t>
  </si>
  <si>
    <t>WMT15</t>
  </si>
  <si>
    <t>HOM36</t>
  </si>
  <si>
    <t>DGR000.B</t>
  </si>
  <si>
    <t>ATT055.0</t>
  </si>
  <si>
    <t>CST001.A</t>
  </si>
  <si>
    <t>CoreSite</t>
  </si>
  <si>
    <t>HDD80</t>
  </si>
  <si>
    <t>HOM76</t>
  </si>
  <si>
    <t>HDD75</t>
  </si>
  <si>
    <t>ROL03</t>
  </si>
  <si>
    <t>CTC000.0</t>
  </si>
  <si>
    <t>CEN000.0</t>
  </si>
  <si>
    <t>Constellation Energy</t>
  </si>
  <si>
    <t>WMT58</t>
  </si>
  <si>
    <t>HDP22</t>
  </si>
  <si>
    <t>HDD42</t>
  </si>
  <si>
    <t>HDD90</t>
  </si>
  <si>
    <t>BLM001.0</t>
  </si>
  <si>
    <t>JBC000.0</t>
  </si>
  <si>
    <t>Jabil</t>
  </si>
  <si>
    <t>HDP091.0</t>
  </si>
  <si>
    <t>ATT95</t>
  </si>
  <si>
    <t>FDX006.0</t>
  </si>
  <si>
    <t>ATT96</t>
  </si>
  <si>
    <t>BGE01</t>
  </si>
  <si>
    <t>Baltimore Gas &amp; Electric</t>
  </si>
  <si>
    <t>NTL002.A</t>
  </si>
  <si>
    <t>CST001.B</t>
  </si>
  <si>
    <t>PHC002.0</t>
  </si>
  <si>
    <t>HDD47</t>
  </si>
  <si>
    <t>HDD09</t>
  </si>
  <si>
    <t>HOM45</t>
  </si>
  <si>
    <t>HDD95</t>
  </si>
  <si>
    <t>HDD29</t>
  </si>
  <si>
    <t>NAS00</t>
  </si>
  <si>
    <t>NASA</t>
  </si>
  <si>
    <t>WAL35</t>
  </si>
  <si>
    <t>HDD17</t>
  </si>
  <si>
    <t>GEN00</t>
  </si>
  <si>
    <t>WMT21</t>
  </si>
  <si>
    <t>ATT94</t>
  </si>
  <si>
    <t>HDD30</t>
  </si>
  <si>
    <t>HOM68</t>
  </si>
  <si>
    <t>KSR67</t>
  </si>
  <si>
    <t>HDP14</t>
  </si>
  <si>
    <t>HDD081.0</t>
  </si>
  <si>
    <t>WMT043.0</t>
  </si>
  <si>
    <t>HOM15</t>
  </si>
  <si>
    <t>RGP000.0</t>
  </si>
  <si>
    <t>Regeneron Pharmaceuticals Inc</t>
  </si>
  <si>
    <t>WAL10</t>
  </si>
  <si>
    <t>SVO000.0</t>
  </si>
  <si>
    <t>SevOne</t>
  </si>
  <si>
    <t>HOM01</t>
  </si>
  <si>
    <t>WMT014.0</t>
  </si>
  <si>
    <t>HOM78</t>
  </si>
  <si>
    <t>CTC014.0</t>
  </si>
  <si>
    <t>ATT084.0</t>
  </si>
  <si>
    <t>ATT060.0</t>
  </si>
  <si>
    <t>RED000.N</t>
  </si>
  <si>
    <t>EBY10</t>
  </si>
  <si>
    <t>HOM60</t>
  </si>
  <si>
    <t>HOM43</t>
  </si>
  <si>
    <t>FDX010.0</t>
  </si>
  <si>
    <t>APP06</t>
  </si>
  <si>
    <t>HDP01</t>
  </si>
  <si>
    <t>RED000.M</t>
  </si>
  <si>
    <t>HOM82</t>
  </si>
  <si>
    <t>CLT004.0</t>
  </si>
  <si>
    <t>ROL01</t>
  </si>
  <si>
    <t>HDD03</t>
  </si>
  <si>
    <t>CLT006.0</t>
  </si>
  <si>
    <t>HOM31</t>
  </si>
  <si>
    <t>ORC00</t>
  </si>
  <si>
    <t>Oracle</t>
  </si>
  <si>
    <t>LGR000.0</t>
  </si>
  <si>
    <t>Legrand</t>
  </si>
  <si>
    <t>ATA00</t>
  </si>
  <si>
    <t>HDP032.0</t>
  </si>
  <si>
    <t>EBY11</t>
  </si>
  <si>
    <t>IKA004.0</t>
  </si>
  <si>
    <t>HDD12</t>
  </si>
  <si>
    <t>WAL47</t>
  </si>
  <si>
    <t>HDD72</t>
  </si>
  <si>
    <t>HDD84</t>
  </si>
  <si>
    <t>WMT045.0</t>
  </si>
  <si>
    <t>ATT091.0</t>
  </si>
  <si>
    <t>HOM62</t>
  </si>
  <si>
    <t>HDD96</t>
  </si>
  <si>
    <t>HDP13</t>
  </si>
  <si>
    <t>HOM72</t>
  </si>
  <si>
    <t>WMT55</t>
  </si>
  <si>
    <t>HOM86</t>
  </si>
  <si>
    <t>WMT09</t>
  </si>
  <si>
    <t>WMT18</t>
  </si>
  <si>
    <t>RED000.L</t>
  </si>
  <si>
    <t>HDP035.0</t>
  </si>
  <si>
    <t>HOM91</t>
  </si>
  <si>
    <t>KST000.B</t>
  </si>
  <si>
    <t>HOM33</t>
  </si>
  <si>
    <t>EQX011.A</t>
  </si>
  <si>
    <t>FDX009.0</t>
  </si>
  <si>
    <t>HDD024.0</t>
  </si>
  <si>
    <t>HDD074.0</t>
  </si>
  <si>
    <t>ATT071.0</t>
  </si>
  <si>
    <t>HDD045.0</t>
  </si>
  <si>
    <t>WAL43</t>
  </si>
  <si>
    <t>WMT35</t>
  </si>
  <si>
    <t>ATT088.0</t>
  </si>
  <si>
    <t>HDD062.0</t>
  </si>
  <si>
    <t>EBY06</t>
  </si>
  <si>
    <t>ATT62</t>
  </si>
  <si>
    <t>WMT08</t>
  </si>
  <si>
    <t>PHC006.0</t>
  </si>
  <si>
    <t>HDD028.0</t>
  </si>
  <si>
    <t>HDD078.0</t>
  </si>
  <si>
    <t>HOM066.0</t>
  </si>
  <si>
    <t>ATT43</t>
  </si>
  <si>
    <t>HDP007.A</t>
  </si>
  <si>
    <t>HOM09</t>
  </si>
  <si>
    <t>WMT54</t>
  </si>
  <si>
    <t>HDD087.0</t>
  </si>
  <si>
    <t>WMT56</t>
  </si>
  <si>
    <t>HOM16</t>
  </si>
  <si>
    <t>GEN02</t>
  </si>
  <si>
    <t>WMT57</t>
  </si>
  <si>
    <t>BRK00</t>
  </si>
  <si>
    <t>HDD059.0</t>
  </si>
  <si>
    <t>HDD063.0</t>
  </si>
  <si>
    <t>MDC001.B</t>
  </si>
  <si>
    <t>ATT059.0</t>
  </si>
  <si>
    <t>BDB01</t>
  </si>
  <si>
    <t>BD Biosciences</t>
  </si>
  <si>
    <t>HDD06</t>
  </si>
  <si>
    <t>ATA01</t>
  </si>
  <si>
    <t>HDD18</t>
  </si>
  <si>
    <t>HOM74</t>
  </si>
  <si>
    <t>WMT52</t>
  </si>
  <si>
    <t>HDD043.0</t>
  </si>
  <si>
    <t>TLR000.B</t>
  </si>
  <si>
    <t>FRK00</t>
  </si>
  <si>
    <t>Franklin Templeton</t>
  </si>
  <si>
    <t>WAL44</t>
  </si>
  <si>
    <t>HDP021.0</t>
  </si>
  <si>
    <t>WMT042.0</t>
  </si>
  <si>
    <t>NYC00</t>
  </si>
  <si>
    <t>New York City Hall</t>
  </si>
  <si>
    <t>WMT044.0</t>
  </si>
  <si>
    <t>WAL77</t>
  </si>
  <si>
    <t>HDP006.0</t>
  </si>
  <si>
    <t>HDD085.0</t>
  </si>
  <si>
    <t>HDD093.0</t>
  </si>
  <si>
    <t>ADP003.0</t>
  </si>
  <si>
    <t>ADP</t>
  </si>
  <si>
    <t>HDP101.0</t>
  </si>
  <si>
    <t>KSR71</t>
  </si>
  <si>
    <t>CNC000.0</t>
  </si>
  <si>
    <t>Connecticut College</t>
  </si>
  <si>
    <t>FLX001.0</t>
  </si>
  <si>
    <t>ATT083.0</t>
  </si>
  <si>
    <t>ATT051.0</t>
  </si>
  <si>
    <t>KST000.C</t>
  </si>
  <si>
    <t>NTL002.B</t>
  </si>
  <si>
    <t>HDP009.0</t>
  </si>
  <si>
    <t>APP10</t>
  </si>
  <si>
    <t>DTV002.0</t>
  </si>
  <si>
    <t>DIRECTV</t>
  </si>
  <si>
    <t>CLT005.0</t>
  </si>
  <si>
    <t>HDD99</t>
  </si>
  <si>
    <t>KLG01</t>
  </si>
  <si>
    <t>KSR064.0</t>
  </si>
  <si>
    <t>HDP011.0</t>
  </si>
  <si>
    <t>IKA003.0</t>
  </si>
  <si>
    <t>SQL Sites</t>
  </si>
  <si>
    <t>Sites Dropdown</t>
  </si>
  <si>
    <t>months</t>
  </si>
  <si>
    <t>acceptance_date</t>
  </si>
  <si>
    <t>CapEx</t>
  </si>
  <si>
    <t>contract</t>
  </si>
  <si>
    <t>PPA8</t>
  </si>
  <si>
    <t>CAPEX</t>
  </si>
  <si>
    <t>PPA2b</t>
  </si>
  <si>
    <t>ManagedServices</t>
  </si>
  <si>
    <t>PPA6</t>
  </si>
  <si>
    <t>LEASE</t>
  </si>
  <si>
    <t>None</t>
  </si>
  <si>
    <t>PPA5</t>
  </si>
  <si>
    <t>PPAw</t>
  </si>
  <si>
    <t>PPA3a</t>
  </si>
  <si>
    <t>PPA4</t>
  </si>
  <si>
    <t>PPA3b</t>
  </si>
  <si>
    <t>PPA1</t>
  </si>
  <si>
    <t>PPA2</t>
  </si>
  <si>
    <t>PPA</t>
  </si>
  <si>
    <t>Contracts</t>
  </si>
  <si>
    <t>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</si>
</sst>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mm/dd/yy;@"/>
    <numFmt numFmtId="165" formatCode="_(* #,##0_);_(* \(#,##0\);_(* &quot;-&quot;??_);_(@_)"/>
    <numFmt numFmtId="166" formatCode="0.0\x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3" fillId="5" borderId="2" xfId="0" applyFont="1" applyFill="1" applyBorder="1"/>
    <xf numFmtId="0" fontId="2" fillId="5" borderId="2" xfId="0" applyFont="1" applyFill="1" applyBorder="1"/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Fill="1" applyBorder="1"/>
    <xf numFmtId="0" fontId="2" fillId="9" borderId="2" xfId="0" applyFont="1" applyFill="1" applyBorder="1"/>
    <xf numFmtId="0" fontId="3" fillId="9" borderId="2" xfId="0" applyFont="1" applyFill="1" applyBorder="1"/>
    <xf numFmtId="0" fontId="0" fillId="0" borderId="0" xfId="0" applyBorder="1" applyAlignment="1">
      <alignment horizontal="right"/>
    </xf>
    <xf numFmtId="165" fontId="0" fillId="0" borderId="0" xfId="0" applyNumberFormat="1" applyFont="1"/>
    <xf numFmtId="0" fontId="0" fillId="0" borderId="0" xfId="0" applyNumberFormat="1"/>
    <xf numFmtId="0" fontId="0" fillId="0" borderId="0" xfId="0" applyFill="1"/>
    <xf numFmtId="0" fontId="4" fillId="10" borderId="2" xfId="0" applyFont="1" applyFill="1" applyBorder="1"/>
    <xf numFmtId="0" fontId="0" fillId="0" borderId="0" xfId="0" applyFill="1" applyBorder="1" applyAlignment="1">
      <alignment horizontal="right"/>
    </xf>
    <xf numFmtId="0" fontId="0" fillId="7" borderId="1" xfId="0" applyFill="1" applyBorder="1" applyProtection="1">
      <protection locked="0"/>
    </xf>
    <xf numFmtId="0" fontId="0" fillId="7" borderId="1" xfId="0" applyNumberFormat="1" applyFill="1" applyBorder="1" applyProtection="1">
      <protection locked="0"/>
    </xf>
    <xf numFmtId="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165" fontId="0" fillId="0" borderId="0" xfId="1" applyNumberFormat="1" applyFont="1" applyProtection="1"/>
    <xf numFmtId="166" fontId="0" fillId="0" borderId="0" xfId="0" applyNumberFormat="1"/>
    <xf numFmtId="165" fontId="0" fillId="6" borderId="1" xfId="1" applyNumberFormat="1" applyFont="1" applyFill="1" applyBorder="1" applyProtection="1">
      <protection locked="0"/>
    </xf>
    <xf numFmtId="0" fontId="0" fillId="0" borderId="0" xfId="0" applyAlignment="1">
      <alignment horizontal="left" indent="1"/>
    </xf>
    <xf numFmtId="9" fontId="0" fillId="8" borderId="1" xfId="0" applyNumberFormat="1" applyFill="1" applyBorder="1" applyProtection="1">
      <protection locked="0"/>
    </xf>
    <xf numFmtId="0" fontId="0" fillId="8" borderId="1" xfId="0" applyNumberForma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6" borderId="1" xfId="0" applyNumberFormat="1" applyFill="1" applyBorder="1" applyAlignment="1" applyProtection="1">
      <alignment shrinkToFit="1"/>
    </xf>
    <xf numFmtId="14" fontId="0" fillId="0" borderId="0" xfId="0" applyNumberFormat="1"/>
    <xf numFmtId="14" fontId="2" fillId="3" borderId="2" xfId="0" applyNumberFormat="1" applyFont="1" applyFill="1" applyBorder="1"/>
  </cellXfs>
  <cellStyles count="2">
    <cellStyle name="Comma" xfId="1" builtinId="3"/>
    <cellStyle name="Normal" xfId="0" builtinId="0"/>
  </cellStyles>
  <dxfs count="37">
    <dxf>
      <protection locked="0" hidden="0"/>
    </dxf>
    <dxf>
      <protection locked="0" hidden="0"/>
    </dxf>
    <dxf>
      <protection locked="0" hidden="0"/>
    </dxf>
    <dxf>
      <numFmt numFmtId="165" formatCode="_(* #,##0_);_(* \(#,##0\);_(* &quot;-&quot;??_);_(@_)"/>
      <protection locked="1" hidden="0"/>
    </dxf>
    <dxf>
      <numFmt numFmtId="165" formatCode="_(* #,##0_);_(* \(#,##0\);_(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_);_(* \(#,##0\);_(* &quot;-&quot;??_);_(@_)"/>
    </dxf>
    <dxf>
      <numFmt numFmtId="165" formatCode="_(* #,##0_);_(* \(#,##0\);_(* &quot;-&quot;??_);_(@_)"/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165" formatCode="_(* #,##0_);_(* \(#,##0\);_(* &quot;-&quot;??_);_(@_)"/>
      <fill>
        <patternFill patternType="none">
          <fgColor rgb="FF000000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ont>
        <strike/>
        <color theme="1" tint="0.499984740745262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/>
        <color theme="1" tint="0.499984740745262"/>
      </font>
      <fill>
        <patternFill>
          <bgColor theme="2"/>
        </patternFill>
      </fill>
    </dxf>
    <dxf>
      <fill>
        <patternFill>
          <bgColor theme="8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>
          <bgColor theme="4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 patternType="none">
          <bgColor auto="1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</dxfs>
  <tableStyles count="1" defaultTableStyle="TableStyleMedium2" defaultPivotStyle="PivotStyleLight16">
    <tableStyle name="Inputs" pivot="0" count="3">
      <tableStyleElement type="firstColumn" dxfId="36"/>
      <tableStyleElement type="firstRowStripe" dxfId="35"/>
      <tableStyleElement type="secondRowStripe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6" fmlaLink="$C$8" horiz="1" max="30" min="1" page="5"/>
</file>

<file path=xl/ctrlProps/ctrlProp2.xml><?xml version="1.0" encoding="utf-8"?>
<formControlPr xmlns="http://schemas.microsoft.com/office/spreadsheetml/2009/9/main" objectType="Scroll" dx="26" fmlaLink="$C$6" horiz="1" max="5" min="1" page="0"/>
</file>

<file path=xl/ctrlProps/ctrlProp3.xml><?xml version="1.0" encoding="utf-8"?>
<formControlPr xmlns="http://schemas.microsoft.com/office/spreadsheetml/2009/9/main" objectType="Scroll" dx="26" fmlaLink="$C$4" horiz="1" max="20" min="1" page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V$4" lockText="1" noThreeD="1"/>
</file>

<file path=xl/ctrlProps/ctrlProp6.xml><?xml version="1.0" encoding="utf-8"?>
<formControlPr xmlns="http://schemas.microsoft.com/office/spreadsheetml/2009/9/main" objectType="CheckBox" fmlaLink="$V$5" lockText="1" noThreeD="1"/>
</file>

<file path=xl/ctrlProps/ctrlProp7.xml><?xml version="1.0" encoding="utf-8"?>
<formControlPr xmlns="http://schemas.microsoft.com/office/spreadsheetml/2009/9/main" objectType="CheckBox" checked="Checked" fmlaLink="$V$6" lockText="1" noThreeD="1"/>
</file>

<file path=xl/ctrlProps/ctrlProp8.xml><?xml version="1.0" encoding="utf-8"?>
<formControlPr xmlns="http://schemas.microsoft.com/office/spreadsheetml/2009/9/main" objectType="CheckBox" checked="Checked" fmlaLink="$V$8" lockText="1" noThreeD="1"/>
</file>

<file path=xl/ctrlProps/ctrlProp9.xml><?xml version="1.0" encoding="utf-8"?>
<formControlPr xmlns="http://schemas.microsoft.com/office/spreadsheetml/2009/9/main" objectType="CheckBox" fmlaLink="$V$7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6" fmlaLink="$I$10" max="30000" page="10" val="1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3</xdr:row>
          <xdr:rowOff>0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repairs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4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redeploys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best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EOC replacements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early deploy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14</xdr:row>
          <xdr:rowOff>175260</xdr:rowOff>
        </xdr:from>
        <xdr:to>
          <xdr:col>7</xdr:col>
          <xdr:colOff>259080</xdr:colOff>
          <xdr:row>16</xdr:row>
          <xdr:rowOff>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14</xdr:row>
          <xdr:rowOff>0</xdr:rowOff>
        </xdr:from>
        <xdr:to>
          <xdr:col>7</xdr:col>
          <xdr:colOff>259080</xdr:colOff>
          <xdr:row>15</xdr:row>
          <xdr:rowOff>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6</xdr:row>
          <xdr:rowOff>7620</xdr:rowOff>
        </xdr:from>
        <xdr:to>
          <xdr:col>14</xdr:col>
          <xdr:colOff>259080</xdr:colOff>
          <xdr:row>7</xdr:row>
          <xdr:rowOff>0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5</xdr:row>
          <xdr:rowOff>7620</xdr:rowOff>
        </xdr:from>
        <xdr:to>
          <xdr:col>14</xdr:col>
          <xdr:colOff>259080</xdr:colOff>
          <xdr:row>6</xdr:row>
          <xdr:rowOff>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14</xdr:row>
          <xdr:rowOff>0</xdr:rowOff>
        </xdr:from>
        <xdr:to>
          <xdr:col>1</xdr:col>
          <xdr:colOff>1226820</xdr:colOff>
          <xdr:row>15</xdr:row>
          <xdr:rowOff>0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13</xdr:row>
          <xdr:rowOff>0</xdr:rowOff>
        </xdr:from>
        <xdr:to>
          <xdr:col>1</xdr:col>
          <xdr:colOff>1226820</xdr:colOff>
          <xdr:row>14</xdr:row>
          <xdr:rowOff>0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220980</xdr:colOff>
          <xdr:row>1</xdr:row>
          <xdr:rowOff>0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121920</xdr:colOff>
          <xdr:row>9</xdr:row>
          <xdr:rowOff>0</xdr:rowOff>
        </xdr:to>
        <xdr:sp macro="" textlink="">
          <xdr:nvSpPr>
            <xdr:cNvPr id="7217" name="Spinner 49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main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odel_number" tableColumnId="2"/>
      <queryTableField id="3" name="nameplate" tableColumnId="3"/>
      <queryTableField id="4" name="enclosures" tableColumnId="4"/>
      <queryTableField id="5" name="plus_one" tableColumnId="5"/>
      <queryTableField id="6" name="standard" tableColumnId="6"/>
    </queryTableFields>
  </queryTableRefresh>
</queryTable>
</file>

<file path=xl/queryTables/queryTable2.xml><?xml version="1.0" encoding="utf-8"?>
<queryTable xmlns="http://schemas.openxmlformats.org/spreadsheetml/2006/main" name="main_1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ark" tableColumnId="2"/>
      <queryTableField id="3" name="model_number" tableColumnId="3"/>
      <queryTableField id="4" name="initial_date" tableColumnId="4"/>
      <queryTableField id="5" name="rating" tableColumnId="5"/>
      <queryTableField id="6" name="stacks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1"/>
    </queryTableFields>
  </queryTableRefresh>
</queryTable>
</file>

<file path=xl/queryTables/queryTable4.xml><?xml version="1.0" encoding="utf-8"?>
<queryTable xmlns="http://schemas.openxmlformats.org/spreadsheetml/2006/main" name="ExternalData_2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1"/>
    </queryTableFields>
  </queryTableRefresh>
</queryTable>
</file>

<file path=xl/queryTables/queryTable5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1"/>
      <queryTableField id="2" name="model_number" tableColumnId="2"/>
    </queryTableFields>
  </queryTableRefresh>
</queryTable>
</file>

<file path=xl/queryTables/queryTable6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1"/>
      <queryTableField id="2" name="mark" tableColumnId="2"/>
    </queryTableFields>
  </queryTableRefresh>
</queryTable>
</file>

<file path=xl/queryTables/queryTable7.xml><?xml version="1.0" encoding="utf-8"?>
<queryTable xmlns="http://schemas.openxmlformats.org/spreadsheetml/2006/main" name="ExternalData_5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model" tableColumnId="1"/>
      <queryTableField id="2" name="mark" tableColumnId="2"/>
      <queryTableField id="3" name="model_number" tableColumnId="3"/>
    </queryTableFields>
  </queryTableRefresh>
</queryTable>
</file>

<file path=xl/queryTables/queryTable8.xml><?xml version="1.0" encoding="utf-8"?>
<queryTable xmlns="http://schemas.openxmlformats.org/spreadsheetml/2006/main" name="mobunni_apc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id" tableColumnId="1"/>
      <queryTableField id="2" name="customer" tableColumnId="2"/>
      <queryTableField id="4" name="acceptance_date" tableColumnId="4"/>
      <queryTableField id="5" name="contract" tableColumnId="3"/>
    </queryTableFields>
  </queryTableRefresh>
</queryTable>
</file>

<file path=xl/queryTables/queryTable9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5" name="SQL_Servers" displayName="SQL_Servers" ref="D3:I135" tableType="queryTable" totalsRowShown="0">
  <autoFilter ref="D3:I135"/>
  <tableColumns count="6">
    <tableColumn id="1" uniqueName="1" name="model" queryTableFieldId="1"/>
    <tableColumn id="2" uniqueName="2" name="model_number" queryTableFieldId="2"/>
    <tableColumn id="3" uniqueName="3" name="nameplate" queryTableFieldId="3"/>
    <tableColumn id="4" uniqueName="4" name="enclosures" queryTableFieldId="4"/>
    <tableColumn id="5" uniqueName="5" name="plus_one" queryTableFieldId="5"/>
    <tableColumn id="6" uniqueName="6" name="standard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QL_Modules" displayName="SQL_Modules" ref="P3:U37" tableType="queryTable" totalsRowShown="0">
  <autoFilter ref="P3:U37"/>
  <tableColumns count="6">
    <tableColumn id="1" uniqueName="1" name="model" queryTableFieldId="1"/>
    <tableColumn id="2" uniqueName="2" name="mark" queryTableFieldId="2"/>
    <tableColumn id="3" uniqueName="3" name="model_number" queryTableFieldId="3"/>
    <tableColumn id="4" uniqueName="4" name="initial_date" queryTableFieldId="4"/>
    <tableColumn id="5" uniqueName="5" name="rating" queryTableFieldId="5"/>
    <tableColumn id="6" uniqueName="6" name="stacks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SQL_Servers_0" displayName="SQL_Servers_0" ref="K3:K6" tableType="queryTable" totalsRowShown="0">
  <autoFilter ref="K3:K6"/>
  <tableColumns count="1">
    <tableColumn id="1" uniqueName="1" name="model" queryTableFieldId="1" dataDxfId="3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1" name="SQL_Modules_1" displayName="SQL_Modules_1" ref="W3:W8" tableType="queryTable" totalsRowShown="0">
  <autoFilter ref="W3:W8"/>
  <tableColumns count="1">
    <tableColumn id="1" uniqueName="1" name="model" queryTableFieldId="1" dataDxfId="3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SQL_Servers_2" displayName="SQL_Servers_2" ref="M3:N135" tableType="queryTable" totalsRowShown="0">
  <autoFilter ref="M3:N135"/>
  <tableColumns count="2">
    <tableColumn id="1" uniqueName="1" name="model" queryTableFieldId="1" dataDxfId="30"/>
    <tableColumn id="2" uniqueName="2" name="model_number" queryTableFieldId="2" dataDxfId="2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SQL_Modules_2" displayName="SQL_Modules_2" ref="Y3:Z16" tableType="queryTable" totalsRowShown="0">
  <autoFilter ref="Y3:Z16"/>
  <tableColumns count="2">
    <tableColumn id="1" uniqueName="1" name="model" queryTableFieldId="1" dataDxfId="28"/>
    <tableColumn id="2" uniqueName="2" name="mark" queryTableFieldId="2" dataDxfId="2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SQL_Modules_3" displayName="SQL_Modules_3" ref="AB3:AD37" tableType="queryTable" totalsRowShown="0">
  <autoFilter ref="AB3:AD37"/>
  <tableColumns count="3">
    <tableColumn id="1" uniqueName="1" name="model" queryTableFieldId="1" dataDxfId="26"/>
    <tableColumn id="2" uniqueName="2" name="mark" queryTableFieldId="2" dataDxfId="25"/>
    <tableColumn id="3" uniqueName="3" name="model_number" queryTableFieldId="3" dataDxfId="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3" name="SQL_Sites" displayName="SQL_Sites" ref="AH3:AK667" tableType="queryTable" totalsRowShown="0">
  <autoFilter ref="AH3:AK667"/>
  <tableColumns count="4">
    <tableColumn id="1" uniqueName="1" name="id" queryTableFieldId="1"/>
    <tableColumn id="2" uniqueName="2" name="customer" queryTableFieldId="2"/>
    <tableColumn id="4" uniqueName="4" name="acceptance_date" queryTableFieldId="4"/>
    <tableColumn id="3" uniqueName="3" name="contract" queryTableFieldId="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SQL_Sites_1" displayName="SQL_Sites_1" ref="AF3:AF667" tableType="queryTable" totalsRowShown="0">
  <autoFilter ref="AF3:AF667"/>
  <tableColumns count="1">
    <tableColumn id="1" uniqueName="1" name="id" queryTableFieldId="1" dataDxf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9" name="Contracts" displayName="Contracts" ref="B3:B5" totalsRowShown="0">
  <autoFilter ref="B3:B5"/>
  <tableColumns count="1">
    <tableColumn id="1" name="typ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" name="Roadmap" displayName="Roadmap" ref="P5:S6" totalsRowShown="0" dataDxfId="14">
  <autoFilter ref="P5:S6">
    <filterColumn colId="0" hiddenButton="1"/>
    <filterColumn colId="1" hiddenButton="1"/>
    <filterColumn colId="2" hiddenButton="1"/>
    <filterColumn colId="3" hiddenButton="1"/>
  </autoFilter>
  <tableColumns count="4">
    <tableColumn id="1" name="model" dataDxfId="13"/>
    <tableColumn id="2" name="mark" dataDxfId="12"/>
    <tableColumn id="3" name="model number" dataDxfId="11"/>
    <tableColumn id="4" name="rating" dataDxfId="10" dataCellStyle="Comma">
      <calculatedColumnFormula>SUMIFS(SQL_Modules[rating], SQL_Modules[model], Roadmap[[#This Row],[model]], SQL_Modules[mark], Roadmap[[#This Row],[mark]], SQL_Modules[model_number], Roadmap[[#This Row],[model number]])</calculatedColumnFormula>
    </tableColumn>
  </tableColumns>
  <tableStyleInfo name="Inputs" showFirstColumn="0" showLastColumn="0" showRowStripes="1" showColumnStripes="0"/>
</table>
</file>

<file path=xl/tables/table12.xml><?xml version="1.0" encoding="utf-8"?>
<table xmlns="http://schemas.openxmlformats.org/spreadsheetml/2006/main" id="2" name="NewServers" displayName="NewServers" ref="I14:N16" totalsRowCount="1">
  <autoFilter ref="I14:N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erver number" totalsRowLabel="total" dataDxfId="9">
      <calculatedColumnFormula>ROW()-ROW(NewServers[[#Headers],[server number]])</calculatedColumnFormula>
    </tableColumn>
    <tableColumn id="2" name="model" dataDxfId="8"/>
    <tableColumn id="3" name="model number" dataDxfId="7"/>
    <tableColumn id="4" name="nameplate" totalsRowFunction="custom" dataDxfId="6" totalsRowDxfId="5" dataCellStyle="Comma">
      <calculatedColumnFormula>SUMIFS(SQL_Servers[nameplate], SQL_Servers[model], NewServers[[#This Row],[model]], SQL_Servers[model_number], NewServers[[#This Row],[model number]])</calculatedColumnFormula>
      <totalsRowFormula>SUM(NewServers[nameplate])</totalsRowFormula>
    </tableColumn>
    <tableColumn id="5" name="filled" dataDxfId="4" dataCellStyle="Comma">
      <calculatedColumnFormula>SUMIFS(SQL_Servers[enclosures], SQL_Servers[model], NewServers[[#This Row],[model]], SQL_Servers[model_number], NewServers[[#This Row],[model number]])</calculatedColumnFormula>
    </tableColumn>
    <tableColumn id="6" name="empty" dataDxfId="3" dataCellStyle="Comma">
      <calculatedColumnFormula>SUMIFS(SQL_Servers[plus_one], SQL_Servers[model], NewServers[[#This Row],[model]], SQL_Servers[model_number], NewServers[[#This Row],[model number]])</calculatedColumnFormula>
    </tableColumn>
  </tableColumns>
  <tableStyleInfo name="Inputs" showFirstColumn="1" showLastColumn="0" showRowStripes="1" showColumnStripes="0"/>
</table>
</file>

<file path=xl/tables/table13.xml><?xml version="1.0" encoding="utf-8"?>
<table xmlns="http://schemas.openxmlformats.org/spreadsheetml/2006/main" id="3" name="NonReplace" displayName="NonReplace" ref="C13:D14" totalsRowShown="0" dataDxfId="2">
  <autoFilter ref="C13:D14">
    <filterColumn colId="0" hiddenButton="1"/>
    <filterColumn colId="1" hiddenButton="1"/>
  </autoFilter>
  <tableColumns count="2">
    <tableColumn id="1" name="start" dataDxfId="1"/>
    <tableColumn id="2" name="end" dataDxfId="0"/>
  </tableColumns>
  <tableStyleInfo name="Inpu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13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tails">
    <tabColor rgb="FFC00000"/>
  </sheetPr>
  <dimension ref="B2:E8"/>
  <sheetViews>
    <sheetView showGridLines="0" showRowColHeaders="0" tabSelected="1" zoomScaleNormal="100" workbookViewId="0">
      <selection activeCell="C4" sqref="C4"/>
    </sheetView>
  </sheetViews>
  <sheetFormatPr defaultRowHeight="14.4" x14ac:dyDescent="0.3"/>
  <cols>
    <col min="2" max="2" width="15.6640625" bestFit="1" customWidth="1"/>
    <col min="3" max="3" width="6" customWidth="1"/>
  </cols>
  <sheetData>
    <row r="2" spans="2:5" ht="15" thickBot="1" x14ac:dyDescent="0.35">
      <c r="B2" s="10" t="s">
        <v>4</v>
      </c>
      <c r="C2" s="11"/>
      <c r="D2" s="1"/>
      <c r="E2" s="1"/>
    </row>
    <row r="3" spans="2:5" ht="15.6" thickTop="1" thickBot="1" x14ac:dyDescent="0.35"/>
    <row r="4" spans="2:5" ht="15" thickBot="1" x14ac:dyDescent="0.35">
      <c r="B4" t="s">
        <v>6</v>
      </c>
      <c r="C4" s="31">
        <v>1</v>
      </c>
    </row>
    <row r="5" spans="2:5" ht="15" thickBot="1" x14ac:dyDescent="0.35"/>
    <row r="6" spans="2:5" ht="15" thickBot="1" x14ac:dyDescent="0.35">
      <c r="B6" t="s">
        <v>2</v>
      </c>
      <c r="C6" s="31">
        <v>1</v>
      </c>
    </row>
    <row r="7" spans="2:5" ht="15" thickBot="1" x14ac:dyDescent="0.35"/>
    <row r="8" spans="2:5" ht="15" thickBot="1" x14ac:dyDescent="0.35">
      <c r="B8" t="s">
        <v>5</v>
      </c>
      <c r="C8" s="31">
        <v>1</v>
      </c>
    </row>
  </sheetData>
  <sheetProtection sheet="1" selectLockedCells="1"/>
  <conditionalFormatting sqref="C6">
    <cfRule type="expression" dxfId="33" priority="1">
      <formula>n_sites&lt;=1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Scroll Bar 2">
              <controlPr defaultSize="0" autoPict="0">
                <anchor moveWithCells="1">
                  <from>
                    <xdr:col>3</xdr:col>
                    <xdr:colOff>106680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Scroll Bar 3">
              <controlPr defaultSize="0" autoPict="0">
                <anchor moveWithCells="1">
                  <from>
                    <xdr:col>3</xdr:col>
                    <xdr:colOff>106680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3</xdr:col>
                    <xdr:colOff>106680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etails.Add_Scenario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brary">
    <tabColor rgb="FF7030A0"/>
  </sheetPr>
  <dimension ref="B2:AK767"/>
  <sheetViews>
    <sheetView workbookViewId="0"/>
  </sheetViews>
  <sheetFormatPr defaultRowHeight="14.4" x14ac:dyDescent="0.3"/>
  <cols>
    <col min="2" max="2" width="10.44140625" customWidth="1"/>
    <col min="4" max="4" width="9.44140625" customWidth="1"/>
    <col min="5" max="5" width="16.33203125" customWidth="1"/>
    <col min="6" max="6" width="12.21875" customWidth="1"/>
    <col min="7" max="7" width="12.109375" customWidth="1"/>
    <col min="8" max="8" width="10.88671875" customWidth="1"/>
    <col min="9" max="9" width="10.6640625" customWidth="1"/>
    <col min="11" max="11" width="9.33203125" customWidth="1"/>
    <col min="13" max="13" width="9.33203125" customWidth="1"/>
    <col min="14" max="14" width="16.33203125" customWidth="1"/>
    <col min="16" max="16" width="9.44140625" customWidth="1"/>
    <col min="17" max="17" width="7.5546875" customWidth="1"/>
    <col min="18" max="18" width="16.33203125" customWidth="1"/>
    <col min="19" max="19" width="12.5546875" customWidth="1"/>
    <col min="20" max="20" width="8.109375" customWidth="1"/>
    <col min="21" max="21" width="8.33203125" customWidth="1"/>
    <col min="23" max="23" width="9.33203125" bestFit="1" customWidth="1"/>
    <col min="25" max="25" width="9.33203125" customWidth="1"/>
    <col min="26" max="26" width="7.5546875" customWidth="1"/>
    <col min="28" max="28" width="9.33203125" customWidth="1"/>
    <col min="29" max="29" width="7.5546875" customWidth="1"/>
    <col min="30" max="30" width="16.33203125" customWidth="1"/>
    <col min="32" max="33" width="10" bestFit="1" customWidth="1"/>
    <col min="34" max="34" width="10.109375" customWidth="1"/>
    <col min="35" max="35" width="44.109375" customWidth="1"/>
    <col min="36" max="36" width="17.6640625" customWidth="1"/>
    <col min="37" max="37" width="15.33203125" customWidth="1"/>
    <col min="38" max="38" width="17.109375" bestFit="1" customWidth="1"/>
    <col min="39" max="39" width="8.5546875" customWidth="1"/>
  </cols>
  <sheetData>
    <row r="2" spans="2:37" x14ac:dyDescent="0.3">
      <c r="B2" t="s">
        <v>1049</v>
      </c>
      <c r="D2" t="s">
        <v>228</v>
      </c>
      <c r="K2" t="s">
        <v>227</v>
      </c>
      <c r="M2" t="s">
        <v>229</v>
      </c>
      <c r="P2" t="s">
        <v>225</v>
      </c>
      <c r="W2" t="s">
        <v>230</v>
      </c>
      <c r="Y2" t="s">
        <v>231</v>
      </c>
      <c r="AB2" t="s">
        <v>232</v>
      </c>
      <c r="AF2" t="s">
        <v>1029</v>
      </c>
      <c r="AH2" t="s">
        <v>1028</v>
      </c>
      <c r="AJ2" s="34"/>
      <c r="AK2" s="34"/>
    </row>
    <row r="3" spans="2:37" x14ac:dyDescent="0.3">
      <c r="B3" t="s">
        <v>1050</v>
      </c>
      <c r="D3" t="s">
        <v>7</v>
      </c>
      <c r="E3" t="s">
        <v>173</v>
      </c>
      <c r="F3" t="s">
        <v>148</v>
      </c>
      <c r="G3" t="s">
        <v>174</v>
      </c>
      <c r="H3" t="s">
        <v>175</v>
      </c>
      <c r="I3" t="s">
        <v>176</v>
      </c>
      <c r="K3" s="14" t="s">
        <v>7</v>
      </c>
      <c r="M3" s="14" t="s">
        <v>7</v>
      </c>
      <c r="N3" s="14" t="s">
        <v>173</v>
      </c>
      <c r="P3" t="s">
        <v>7</v>
      </c>
      <c r="Q3" t="s">
        <v>8</v>
      </c>
      <c r="R3" t="s">
        <v>173</v>
      </c>
      <c r="S3" t="s">
        <v>178</v>
      </c>
      <c r="T3" t="s">
        <v>141</v>
      </c>
      <c r="U3" t="s">
        <v>179</v>
      </c>
      <c r="W3" s="14" t="s">
        <v>7</v>
      </c>
      <c r="Y3" s="14" t="s">
        <v>7</v>
      </c>
      <c r="Z3" s="14" t="s">
        <v>8</v>
      </c>
      <c r="AB3" s="14" t="s">
        <v>7</v>
      </c>
      <c r="AC3" s="14" t="s">
        <v>8</v>
      </c>
      <c r="AD3" s="14" t="s">
        <v>173</v>
      </c>
      <c r="AF3" s="14" t="s">
        <v>233</v>
      </c>
      <c r="AG3" s="14"/>
      <c r="AH3" t="s">
        <v>233</v>
      </c>
      <c r="AI3" t="s">
        <v>234</v>
      </c>
      <c r="AJ3" t="s">
        <v>1031</v>
      </c>
      <c r="AK3" t="s">
        <v>1033</v>
      </c>
    </row>
    <row r="4" spans="2:37" x14ac:dyDescent="0.3">
      <c r="B4" t="s">
        <v>1032</v>
      </c>
      <c r="D4" t="s">
        <v>9</v>
      </c>
      <c r="E4" t="s">
        <v>10</v>
      </c>
      <c r="F4">
        <v>300</v>
      </c>
      <c r="G4">
        <v>6</v>
      </c>
      <c r="H4">
        <v>0</v>
      </c>
      <c r="I4">
        <v>0</v>
      </c>
      <c r="K4" s="14" t="s">
        <v>113</v>
      </c>
      <c r="M4" s="14" t="s">
        <v>113</v>
      </c>
      <c r="N4" s="14" t="s">
        <v>124</v>
      </c>
      <c r="P4" t="s">
        <v>113</v>
      </c>
      <c r="Q4" t="s">
        <v>145</v>
      </c>
      <c r="R4" t="s">
        <v>145</v>
      </c>
      <c r="S4" t="s">
        <v>180</v>
      </c>
      <c r="T4">
        <v>45</v>
      </c>
      <c r="U4" t="s">
        <v>181</v>
      </c>
      <c r="W4" s="14" t="s">
        <v>113</v>
      </c>
      <c r="Y4" s="14" t="s">
        <v>113</v>
      </c>
      <c r="Z4" s="14" t="s">
        <v>145</v>
      </c>
      <c r="AB4" s="14" t="s">
        <v>113</v>
      </c>
      <c r="AC4" s="14" t="s">
        <v>145</v>
      </c>
      <c r="AD4" s="14" t="s">
        <v>145</v>
      </c>
      <c r="AF4" s="14" t="s">
        <v>676</v>
      </c>
      <c r="AG4" s="14"/>
      <c r="AH4" t="s">
        <v>235</v>
      </c>
      <c r="AI4" t="s">
        <v>236</v>
      </c>
      <c r="AJ4">
        <v>43736</v>
      </c>
      <c r="AK4" t="s">
        <v>1034</v>
      </c>
    </row>
    <row r="5" spans="2:37" x14ac:dyDescent="0.3">
      <c r="B5" t="s">
        <v>1048</v>
      </c>
      <c r="D5" t="s">
        <v>9</v>
      </c>
      <c r="E5" t="s">
        <v>11</v>
      </c>
      <c r="F5">
        <v>300</v>
      </c>
      <c r="G5">
        <v>6</v>
      </c>
      <c r="H5">
        <v>1</v>
      </c>
      <c r="I5">
        <v>0</v>
      </c>
      <c r="K5" s="14" t="s">
        <v>9</v>
      </c>
      <c r="M5" s="14" t="s">
        <v>113</v>
      </c>
      <c r="N5" s="14" t="s">
        <v>125</v>
      </c>
      <c r="P5" t="s">
        <v>9</v>
      </c>
      <c r="Q5" t="s">
        <v>142</v>
      </c>
      <c r="R5" t="s">
        <v>182</v>
      </c>
      <c r="S5" t="s">
        <v>183</v>
      </c>
      <c r="T5">
        <v>50</v>
      </c>
      <c r="U5" t="s">
        <v>184</v>
      </c>
      <c r="W5" s="14" t="s">
        <v>9</v>
      </c>
      <c r="Y5" s="14" t="s">
        <v>146</v>
      </c>
      <c r="Z5" s="14" t="s">
        <v>142</v>
      </c>
      <c r="AB5" s="14" t="s">
        <v>113</v>
      </c>
      <c r="AC5" s="14" t="s">
        <v>145</v>
      </c>
      <c r="AD5" s="14" t="s">
        <v>224</v>
      </c>
      <c r="AF5" s="14" t="s">
        <v>672</v>
      </c>
      <c r="AG5" s="14"/>
      <c r="AH5" t="s">
        <v>237</v>
      </c>
      <c r="AI5" t="s">
        <v>238</v>
      </c>
      <c r="AJ5">
        <v>43697</v>
      </c>
      <c r="AK5" t="s">
        <v>1035</v>
      </c>
    </row>
    <row r="6" spans="2:37" x14ac:dyDescent="0.3">
      <c r="D6" t="s">
        <v>9</v>
      </c>
      <c r="E6" t="s">
        <v>12</v>
      </c>
      <c r="F6">
        <v>300</v>
      </c>
      <c r="G6">
        <v>6</v>
      </c>
      <c r="H6">
        <v>1</v>
      </c>
      <c r="I6">
        <v>0</v>
      </c>
      <c r="K6" s="14" t="s">
        <v>134</v>
      </c>
      <c r="M6" s="14" t="s">
        <v>113</v>
      </c>
      <c r="N6" s="14" t="s">
        <v>122</v>
      </c>
      <c r="P6" t="s">
        <v>134</v>
      </c>
      <c r="Q6" t="s">
        <v>142</v>
      </c>
      <c r="R6" t="s">
        <v>182</v>
      </c>
      <c r="S6" t="s">
        <v>185</v>
      </c>
      <c r="T6">
        <v>75</v>
      </c>
      <c r="U6" t="s">
        <v>184</v>
      </c>
      <c r="W6" s="14" t="s">
        <v>134</v>
      </c>
      <c r="Y6" s="14" t="s">
        <v>146</v>
      </c>
      <c r="Z6" s="14" t="s">
        <v>145</v>
      </c>
      <c r="AB6" s="14" t="s">
        <v>146</v>
      </c>
      <c r="AC6" s="14" t="s">
        <v>142</v>
      </c>
      <c r="AD6" s="14" t="s">
        <v>142</v>
      </c>
      <c r="AF6" s="14" t="s">
        <v>393</v>
      </c>
      <c r="AG6" s="14"/>
      <c r="AH6" t="s">
        <v>239</v>
      </c>
      <c r="AI6" t="s">
        <v>240</v>
      </c>
      <c r="AJ6">
        <v>43689</v>
      </c>
      <c r="AK6" t="s">
        <v>1036</v>
      </c>
    </row>
    <row r="7" spans="2:37" x14ac:dyDescent="0.3">
      <c r="D7" t="s">
        <v>9</v>
      </c>
      <c r="E7" t="s">
        <v>13</v>
      </c>
      <c r="F7">
        <v>300</v>
      </c>
      <c r="G7">
        <v>6</v>
      </c>
      <c r="H7">
        <v>0</v>
      </c>
      <c r="I7">
        <v>0</v>
      </c>
      <c r="M7" s="14" t="s">
        <v>113</v>
      </c>
      <c r="N7" s="14" t="s">
        <v>123</v>
      </c>
      <c r="P7" t="s">
        <v>134</v>
      </c>
      <c r="Q7" t="s">
        <v>145</v>
      </c>
      <c r="R7" t="s">
        <v>186</v>
      </c>
      <c r="S7" t="s">
        <v>187</v>
      </c>
      <c r="T7">
        <v>85</v>
      </c>
      <c r="U7" t="s">
        <v>184</v>
      </c>
      <c r="W7" s="14" t="s">
        <v>146</v>
      </c>
      <c r="Y7" s="14" t="s">
        <v>147</v>
      </c>
      <c r="Z7" s="14" t="s">
        <v>142</v>
      </c>
      <c r="AB7" s="14" t="s">
        <v>146</v>
      </c>
      <c r="AC7" s="14" t="s">
        <v>145</v>
      </c>
      <c r="AD7" s="14" t="s">
        <v>145</v>
      </c>
      <c r="AF7" s="14" t="s">
        <v>683</v>
      </c>
      <c r="AG7" s="14"/>
      <c r="AH7" t="s">
        <v>241</v>
      </c>
      <c r="AI7" t="s">
        <v>240</v>
      </c>
      <c r="AJ7">
        <v>43696</v>
      </c>
      <c r="AK7" t="s">
        <v>1036</v>
      </c>
    </row>
    <row r="8" spans="2:37" x14ac:dyDescent="0.3">
      <c r="D8" t="s">
        <v>9</v>
      </c>
      <c r="E8" t="s">
        <v>14</v>
      </c>
      <c r="F8">
        <v>300</v>
      </c>
      <c r="G8">
        <v>6</v>
      </c>
      <c r="H8">
        <v>1</v>
      </c>
      <c r="I8">
        <v>1</v>
      </c>
      <c r="M8" s="14" t="s">
        <v>113</v>
      </c>
      <c r="N8" s="14" t="s">
        <v>128</v>
      </c>
      <c r="P8" t="s">
        <v>134</v>
      </c>
      <c r="Q8" t="s">
        <v>188</v>
      </c>
      <c r="R8" t="s">
        <v>189</v>
      </c>
      <c r="S8" t="s">
        <v>190</v>
      </c>
      <c r="T8">
        <v>100</v>
      </c>
      <c r="U8" t="s">
        <v>184</v>
      </c>
      <c r="W8" s="14" t="s">
        <v>147</v>
      </c>
      <c r="Y8" s="14" t="s">
        <v>147</v>
      </c>
      <c r="Z8" s="14" t="s">
        <v>145</v>
      </c>
      <c r="AB8" s="14" t="s">
        <v>147</v>
      </c>
      <c r="AC8" s="14" t="s">
        <v>142</v>
      </c>
      <c r="AD8" s="14" t="s">
        <v>142</v>
      </c>
      <c r="AF8" s="14" t="s">
        <v>1007</v>
      </c>
      <c r="AG8" s="14"/>
      <c r="AH8" t="s">
        <v>242</v>
      </c>
      <c r="AI8" t="s">
        <v>243</v>
      </c>
      <c r="AJ8">
        <v>43686</v>
      </c>
      <c r="AK8" t="s">
        <v>1034</v>
      </c>
    </row>
    <row r="9" spans="2:37" x14ac:dyDescent="0.3">
      <c r="D9" t="s">
        <v>9</v>
      </c>
      <c r="E9" t="s">
        <v>15</v>
      </c>
      <c r="F9">
        <v>300</v>
      </c>
      <c r="G9">
        <v>6</v>
      </c>
      <c r="H9">
        <v>1</v>
      </c>
      <c r="I9">
        <v>0</v>
      </c>
      <c r="M9" s="14" t="s">
        <v>113</v>
      </c>
      <c r="N9" s="14" t="s">
        <v>129</v>
      </c>
      <c r="P9" t="s">
        <v>134</v>
      </c>
      <c r="Q9" t="s">
        <v>191</v>
      </c>
      <c r="R9" t="s">
        <v>192</v>
      </c>
      <c r="S9" t="s">
        <v>193</v>
      </c>
      <c r="T9">
        <v>110</v>
      </c>
      <c r="U9" t="s">
        <v>184</v>
      </c>
      <c r="Y9" s="14" t="s">
        <v>134</v>
      </c>
      <c r="Z9" s="14" t="s">
        <v>142</v>
      </c>
      <c r="AB9" s="14" t="s">
        <v>147</v>
      </c>
      <c r="AC9" s="14" t="s">
        <v>145</v>
      </c>
      <c r="AD9" s="14" t="s">
        <v>145</v>
      </c>
      <c r="AF9" s="14" t="s">
        <v>679</v>
      </c>
      <c r="AG9" s="14"/>
      <c r="AH9" t="s">
        <v>244</v>
      </c>
      <c r="AI9" t="s">
        <v>240</v>
      </c>
      <c r="AJ9">
        <v>43681</v>
      </c>
      <c r="AK9" t="s">
        <v>1036</v>
      </c>
    </row>
    <row r="10" spans="2:37" x14ac:dyDescent="0.3">
      <c r="D10" t="s">
        <v>9</v>
      </c>
      <c r="E10" t="s">
        <v>16</v>
      </c>
      <c r="F10">
        <v>300</v>
      </c>
      <c r="G10">
        <v>6</v>
      </c>
      <c r="H10">
        <v>1</v>
      </c>
      <c r="I10">
        <v>0</v>
      </c>
      <c r="M10" s="14" t="s">
        <v>113</v>
      </c>
      <c r="N10" s="14" t="s">
        <v>126</v>
      </c>
      <c r="P10" t="s">
        <v>134</v>
      </c>
      <c r="Q10" t="s">
        <v>194</v>
      </c>
      <c r="R10" t="s">
        <v>195</v>
      </c>
      <c r="S10" t="s">
        <v>196</v>
      </c>
      <c r="T10">
        <v>120</v>
      </c>
      <c r="U10" t="s">
        <v>184</v>
      </c>
      <c r="Y10" s="14" t="s">
        <v>134</v>
      </c>
      <c r="Z10" s="14" t="s">
        <v>145</v>
      </c>
      <c r="AB10" s="14" t="s">
        <v>134</v>
      </c>
      <c r="AC10" s="14" t="s">
        <v>142</v>
      </c>
      <c r="AD10" s="14" t="s">
        <v>142</v>
      </c>
      <c r="AF10" s="14" t="s">
        <v>289</v>
      </c>
      <c r="AG10" s="14"/>
      <c r="AH10" t="s">
        <v>245</v>
      </c>
      <c r="AI10" t="s">
        <v>240</v>
      </c>
      <c r="AJ10">
        <v>43681</v>
      </c>
      <c r="AK10" t="s">
        <v>1036</v>
      </c>
    </row>
    <row r="11" spans="2:37" x14ac:dyDescent="0.3">
      <c r="D11" t="s">
        <v>9</v>
      </c>
      <c r="E11" t="s">
        <v>17</v>
      </c>
      <c r="F11">
        <v>250</v>
      </c>
      <c r="G11">
        <v>5</v>
      </c>
      <c r="H11">
        <v>1</v>
      </c>
      <c r="I11">
        <v>0</v>
      </c>
      <c r="M11" s="14" t="s">
        <v>113</v>
      </c>
      <c r="N11" s="14" t="s">
        <v>127</v>
      </c>
      <c r="P11" t="s">
        <v>134</v>
      </c>
      <c r="Q11" t="s">
        <v>197</v>
      </c>
      <c r="R11" t="s">
        <v>198</v>
      </c>
      <c r="S11" t="s">
        <v>199</v>
      </c>
      <c r="T11">
        <v>125</v>
      </c>
      <c r="U11" t="s">
        <v>184</v>
      </c>
      <c r="Y11" s="14" t="s">
        <v>134</v>
      </c>
      <c r="Z11" s="14" t="s">
        <v>188</v>
      </c>
      <c r="AB11" s="14" t="s">
        <v>134</v>
      </c>
      <c r="AC11" s="14" t="s">
        <v>142</v>
      </c>
      <c r="AD11" s="14" t="s">
        <v>200</v>
      </c>
      <c r="AF11" s="14" t="s">
        <v>726</v>
      </c>
      <c r="AG11" s="14"/>
      <c r="AH11" t="s">
        <v>246</v>
      </c>
      <c r="AI11" t="s">
        <v>247</v>
      </c>
      <c r="AJ11">
        <v>43650</v>
      </c>
      <c r="AK11" t="s">
        <v>1034</v>
      </c>
    </row>
    <row r="12" spans="2:37" x14ac:dyDescent="0.3">
      <c r="D12" t="s">
        <v>9</v>
      </c>
      <c r="E12" t="s">
        <v>18</v>
      </c>
      <c r="F12">
        <v>250</v>
      </c>
      <c r="G12">
        <v>5</v>
      </c>
      <c r="H12">
        <v>1</v>
      </c>
      <c r="I12">
        <v>0</v>
      </c>
      <c r="M12" s="14" t="s">
        <v>113</v>
      </c>
      <c r="N12" s="14" t="s">
        <v>116</v>
      </c>
      <c r="P12" t="s">
        <v>134</v>
      </c>
      <c r="Q12" t="s">
        <v>142</v>
      </c>
      <c r="R12" t="s">
        <v>200</v>
      </c>
      <c r="S12" t="s">
        <v>201</v>
      </c>
      <c r="T12">
        <v>75</v>
      </c>
      <c r="U12" t="s">
        <v>184</v>
      </c>
      <c r="Y12" s="14" t="s">
        <v>134</v>
      </c>
      <c r="Z12" s="14" t="s">
        <v>191</v>
      </c>
      <c r="AB12" s="14" t="s">
        <v>134</v>
      </c>
      <c r="AC12" s="14" t="s">
        <v>142</v>
      </c>
      <c r="AD12" s="14" t="s">
        <v>182</v>
      </c>
      <c r="AF12" s="14" t="s">
        <v>704</v>
      </c>
      <c r="AG12" s="14"/>
      <c r="AH12" t="s">
        <v>248</v>
      </c>
      <c r="AI12" t="s">
        <v>249</v>
      </c>
      <c r="AJ12">
        <v>43646</v>
      </c>
      <c r="AK12" t="s">
        <v>1037</v>
      </c>
    </row>
    <row r="13" spans="2:37" x14ac:dyDescent="0.3">
      <c r="D13" t="s">
        <v>9</v>
      </c>
      <c r="E13" t="s">
        <v>19</v>
      </c>
      <c r="F13">
        <v>250</v>
      </c>
      <c r="G13">
        <v>5</v>
      </c>
      <c r="H13">
        <v>1</v>
      </c>
      <c r="I13">
        <v>0</v>
      </c>
      <c r="M13" s="14" t="s">
        <v>113</v>
      </c>
      <c r="N13" s="14" t="s">
        <v>117</v>
      </c>
      <c r="P13" t="s">
        <v>134</v>
      </c>
      <c r="Q13" t="s">
        <v>188</v>
      </c>
      <c r="R13" t="s">
        <v>202</v>
      </c>
      <c r="S13" t="s">
        <v>193</v>
      </c>
      <c r="T13">
        <v>100</v>
      </c>
      <c r="U13" t="s">
        <v>184</v>
      </c>
      <c r="Y13" s="14" t="s">
        <v>134</v>
      </c>
      <c r="Z13" s="14" t="s">
        <v>194</v>
      </c>
      <c r="AB13" s="14" t="s">
        <v>134</v>
      </c>
      <c r="AC13" s="14" t="s">
        <v>145</v>
      </c>
      <c r="AD13" s="14" t="s">
        <v>145</v>
      </c>
      <c r="AF13" s="14" t="s">
        <v>626</v>
      </c>
      <c r="AG13" s="14"/>
      <c r="AH13" t="s">
        <v>250</v>
      </c>
      <c r="AI13" t="s">
        <v>251</v>
      </c>
      <c r="AJ13">
        <v>43644</v>
      </c>
      <c r="AK13" t="s">
        <v>1035</v>
      </c>
    </row>
    <row r="14" spans="2:37" x14ac:dyDescent="0.3">
      <c r="D14" t="s">
        <v>9</v>
      </c>
      <c r="E14" t="s">
        <v>20</v>
      </c>
      <c r="F14">
        <v>250</v>
      </c>
      <c r="G14">
        <v>5</v>
      </c>
      <c r="H14">
        <v>1</v>
      </c>
      <c r="I14">
        <v>0</v>
      </c>
      <c r="M14" s="14" t="s">
        <v>113</v>
      </c>
      <c r="N14" s="14" t="s">
        <v>114</v>
      </c>
      <c r="P14" t="s">
        <v>134</v>
      </c>
      <c r="Q14" t="s">
        <v>191</v>
      </c>
      <c r="R14" t="s">
        <v>203</v>
      </c>
      <c r="S14" t="s">
        <v>204</v>
      </c>
      <c r="T14">
        <v>110</v>
      </c>
      <c r="U14" t="s">
        <v>184</v>
      </c>
      <c r="Y14" s="14" t="s">
        <v>134</v>
      </c>
      <c r="Z14" s="14" t="s">
        <v>197</v>
      </c>
      <c r="AB14" s="14" t="s">
        <v>134</v>
      </c>
      <c r="AC14" s="14" t="s">
        <v>145</v>
      </c>
      <c r="AD14" s="14" t="s">
        <v>186</v>
      </c>
      <c r="AF14" s="14" t="s">
        <v>702</v>
      </c>
      <c r="AG14" s="14"/>
      <c r="AH14" t="s">
        <v>252</v>
      </c>
      <c r="AI14" t="s">
        <v>243</v>
      </c>
      <c r="AJ14">
        <v>43727</v>
      </c>
      <c r="AK14" t="s">
        <v>1038</v>
      </c>
    </row>
    <row r="15" spans="2:37" x14ac:dyDescent="0.3">
      <c r="D15" t="s">
        <v>9</v>
      </c>
      <c r="E15" t="s">
        <v>21</v>
      </c>
      <c r="F15">
        <v>250</v>
      </c>
      <c r="G15">
        <v>5</v>
      </c>
      <c r="H15">
        <v>0</v>
      </c>
      <c r="I15">
        <v>0</v>
      </c>
      <c r="M15" s="14" t="s">
        <v>113</v>
      </c>
      <c r="N15" s="14" t="s">
        <v>115</v>
      </c>
      <c r="P15" t="s">
        <v>134</v>
      </c>
      <c r="Q15" t="s">
        <v>194</v>
      </c>
      <c r="R15" t="s">
        <v>205</v>
      </c>
      <c r="S15" t="s">
        <v>206</v>
      </c>
      <c r="T15">
        <v>120</v>
      </c>
      <c r="U15" t="s">
        <v>184</v>
      </c>
      <c r="Y15" s="14" t="s">
        <v>9</v>
      </c>
      <c r="Z15" s="14" t="s">
        <v>142</v>
      </c>
      <c r="AB15" s="14" t="s">
        <v>134</v>
      </c>
      <c r="AC15" s="14" t="s">
        <v>188</v>
      </c>
      <c r="AD15" s="14" t="s">
        <v>202</v>
      </c>
      <c r="AF15" s="14" t="s">
        <v>634</v>
      </c>
      <c r="AG15" s="14"/>
      <c r="AH15" t="s">
        <v>253</v>
      </c>
      <c r="AI15" t="s">
        <v>240</v>
      </c>
      <c r="AJ15">
        <v>43633</v>
      </c>
      <c r="AK15" t="s">
        <v>1036</v>
      </c>
    </row>
    <row r="16" spans="2:37" x14ac:dyDescent="0.3">
      <c r="D16" t="s">
        <v>9</v>
      </c>
      <c r="E16" t="s">
        <v>22</v>
      </c>
      <c r="F16">
        <v>250</v>
      </c>
      <c r="G16">
        <v>5</v>
      </c>
      <c r="H16">
        <v>0</v>
      </c>
      <c r="I16">
        <v>0</v>
      </c>
      <c r="M16" s="14" t="s">
        <v>113</v>
      </c>
      <c r="N16" s="14" t="s">
        <v>120</v>
      </c>
      <c r="P16" t="s">
        <v>134</v>
      </c>
      <c r="Q16" t="s">
        <v>197</v>
      </c>
      <c r="R16" t="s">
        <v>207</v>
      </c>
      <c r="S16" t="s">
        <v>208</v>
      </c>
      <c r="T16">
        <v>125</v>
      </c>
      <c r="U16" t="s">
        <v>184</v>
      </c>
      <c r="Y16" s="14" t="s">
        <v>9</v>
      </c>
      <c r="Z16" s="14" t="s">
        <v>145</v>
      </c>
      <c r="AB16" s="14" t="s">
        <v>134</v>
      </c>
      <c r="AC16" s="14" t="s">
        <v>188</v>
      </c>
      <c r="AD16" s="14" t="s">
        <v>189</v>
      </c>
      <c r="AF16" s="14" t="s">
        <v>688</v>
      </c>
      <c r="AG16" s="14"/>
      <c r="AH16" t="s">
        <v>254</v>
      </c>
      <c r="AI16" t="s">
        <v>243</v>
      </c>
      <c r="AJ16">
        <v>43562</v>
      </c>
      <c r="AK16" t="s">
        <v>1038</v>
      </c>
    </row>
    <row r="17" spans="4:37" x14ac:dyDescent="0.3">
      <c r="D17" t="s">
        <v>9</v>
      </c>
      <c r="E17" t="s">
        <v>23</v>
      </c>
      <c r="F17">
        <v>250</v>
      </c>
      <c r="G17">
        <v>5</v>
      </c>
      <c r="H17">
        <v>1</v>
      </c>
      <c r="I17">
        <v>0</v>
      </c>
      <c r="M17" s="14" t="s">
        <v>113</v>
      </c>
      <c r="N17" s="14" t="s">
        <v>121</v>
      </c>
      <c r="P17" t="s">
        <v>9</v>
      </c>
      <c r="Q17" t="s">
        <v>142</v>
      </c>
      <c r="R17" t="s">
        <v>209</v>
      </c>
      <c r="S17" t="s">
        <v>183</v>
      </c>
      <c r="T17">
        <v>50</v>
      </c>
      <c r="U17" t="s">
        <v>184</v>
      </c>
      <c r="AB17" s="14" t="s">
        <v>134</v>
      </c>
      <c r="AC17" s="14" t="s">
        <v>191</v>
      </c>
      <c r="AD17" s="14" t="s">
        <v>203</v>
      </c>
      <c r="AF17" s="14" t="s">
        <v>370</v>
      </c>
      <c r="AG17" s="14"/>
      <c r="AH17" t="s">
        <v>255</v>
      </c>
      <c r="AI17" t="s">
        <v>243</v>
      </c>
      <c r="AJ17">
        <v>43536</v>
      </c>
      <c r="AK17" t="s">
        <v>1038</v>
      </c>
    </row>
    <row r="18" spans="4:37" x14ac:dyDescent="0.3">
      <c r="D18" t="s">
        <v>9</v>
      </c>
      <c r="E18" t="s">
        <v>24</v>
      </c>
      <c r="F18">
        <v>250</v>
      </c>
      <c r="G18">
        <v>5</v>
      </c>
      <c r="H18">
        <v>1</v>
      </c>
      <c r="I18">
        <v>0</v>
      </c>
      <c r="M18" s="14" t="s">
        <v>113</v>
      </c>
      <c r="N18" s="14" t="s">
        <v>118</v>
      </c>
      <c r="P18" t="s">
        <v>9</v>
      </c>
      <c r="Q18" t="s">
        <v>142</v>
      </c>
      <c r="R18" t="s">
        <v>210</v>
      </c>
      <c r="S18" t="s">
        <v>183</v>
      </c>
      <c r="T18">
        <v>50</v>
      </c>
      <c r="U18" t="s">
        <v>184</v>
      </c>
      <c r="AB18" s="14" t="s">
        <v>134</v>
      </c>
      <c r="AC18" s="14" t="s">
        <v>191</v>
      </c>
      <c r="AD18" s="14" t="s">
        <v>192</v>
      </c>
      <c r="AF18" s="14" t="s">
        <v>351</v>
      </c>
      <c r="AG18" s="14"/>
      <c r="AH18" t="s">
        <v>256</v>
      </c>
      <c r="AI18" t="s">
        <v>243</v>
      </c>
      <c r="AJ18">
        <v>43551</v>
      </c>
      <c r="AK18" t="s">
        <v>1038</v>
      </c>
    </row>
    <row r="19" spans="4:37" x14ac:dyDescent="0.3">
      <c r="D19" t="s">
        <v>9</v>
      </c>
      <c r="E19" t="s">
        <v>25</v>
      </c>
      <c r="F19">
        <v>250</v>
      </c>
      <c r="G19">
        <v>5</v>
      </c>
      <c r="H19">
        <v>1</v>
      </c>
      <c r="I19">
        <v>1</v>
      </c>
      <c r="M19" s="14" t="s">
        <v>113</v>
      </c>
      <c r="N19" s="14" t="s">
        <v>119</v>
      </c>
      <c r="P19" t="s">
        <v>9</v>
      </c>
      <c r="Q19" t="s">
        <v>142</v>
      </c>
      <c r="R19" t="s">
        <v>211</v>
      </c>
      <c r="S19" t="s">
        <v>185</v>
      </c>
      <c r="T19">
        <v>30</v>
      </c>
      <c r="U19" t="s">
        <v>184</v>
      </c>
      <c r="AB19" s="14" t="s">
        <v>134</v>
      </c>
      <c r="AC19" s="14" t="s">
        <v>194</v>
      </c>
      <c r="AD19" s="14" t="s">
        <v>205</v>
      </c>
      <c r="AF19" s="14" t="s">
        <v>367</v>
      </c>
      <c r="AG19" s="14"/>
      <c r="AH19" t="s">
        <v>257</v>
      </c>
      <c r="AI19" t="s">
        <v>258</v>
      </c>
      <c r="AJ19">
        <v>43555</v>
      </c>
      <c r="AK19" t="s">
        <v>1038</v>
      </c>
    </row>
    <row r="20" spans="4:37" x14ac:dyDescent="0.3">
      <c r="D20" t="s">
        <v>9</v>
      </c>
      <c r="E20" t="s">
        <v>26</v>
      </c>
      <c r="F20">
        <v>250</v>
      </c>
      <c r="G20">
        <v>5</v>
      </c>
      <c r="H20">
        <v>0</v>
      </c>
      <c r="I20">
        <v>0</v>
      </c>
      <c r="M20" s="14" t="s">
        <v>113</v>
      </c>
      <c r="N20" s="14" t="s">
        <v>133</v>
      </c>
      <c r="P20" t="s">
        <v>9</v>
      </c>
      <c r="Q20" t="s">
        <v>142</v>
      </c>
      <c r="R20" t="s">
        <v>212</v>
      </c>
      <c r="S20" t="s">
        <v>185</v>
      </c>
      <c r="T20">
        <v>40</v>
      </c>
      <c r="U20" t="s">
        <v>184</v>
      </c>
      <c r="AB20" s="14" t="s">
        <v>134</v>
      </c>
      <c r="AC20" s="14" t="s">
        <v>194</v>
      </c>
      <c r="AD20" s="14" t="s">
        <v>195</v>
      </c>
      <c r="AF20" s="14" t="s">
        <v>353</v>
      </c>
      <c r="AG20" s="14"/>
      <c r="AH20" t="s">
        <v>259</v>
      </c>
      <c r="AI20" t="s">
        <v>260</v>
      </c>
      <c r="AJ20">
        <v>43554</v>
      </c>
      <c r="AK20" t="s">
        <v>1037</v>
      </c>
    </row>
    <row r="21" spans="4:37" x14ac:dyDescent="0.3">
      <c r="D21" t="s">
        <v>9</v>
      </c>
      <c r="E21" t="s">
        <v>27</v>
      </c>
      <c r="F21">
        <v>250</v>
      </c>
      <c r="G21">
        <v>5</v>
      </c>
      <c r="H21">
        <v>1</v>
      </c>
      <c r="I21">
        <v>0</v>
      </c>
      <c r="M21" s="14" t="s">
        <v>113</v>
      </c>
      <c r="N21" s="14" t="s">
        <v>160</v>
      </c>
      <c r="P21" t="s">
        <v>9</v>
      </c>
      <c r="Q21" t="s">
        <v>142</v>
      </c>
      <c r="R21" t="s">
        <v>213</v>
      </c>
      <c r="S21" t="s">
        <v>185</v>
      </c>
      <c r="T21">
        <v>65</v>
      </c>
      <c r="U21" t="s">
        <v>184</v>
      </c>
      <c r="AB21" s="14" t="s">
        <v>134</v>
      </c>
      <c r="AC21" s="14" t="s">
        <v>197</v>
      </c>
      <c r="AD21" s="14" t="s">
        <v>207</v>
      </c>
      <c r="AF21" s="14" t="s">
        <v>701</v>
      </c>
      <c r="AG21" s="14"/>
      <c r="AH21" t="s">
        <v>261</v>
      </c>
      <c r="AI21" t="s">
        <v>260</v>
      </c>
      <c r="AJ21">
        <v>43588</v>
      </c>
      <c r="AK21" t="s">
        <v>1037</v>
      </c>
    </row>
    <row r="22" spans="4:37" x14ac:dyDescent="0.3">
      <c r="D22" t="s">
        <v>9</v>
      </c>
      <c r="E22" t="s">
        <v>28</v>
      </c>
      <c r="F22">
        <v>250</v>
      </c>
      <c r="G22">
        <v>5</v>
      </c>
      <c r="H22">
        <v>1</v>
      </c>
      <c r="I22">
        <v>0</v>
      </c>
      <c r="M22" s="14" t="s">
        <v>113</v>
      </c>
      <c r="N22" s="14" t="s">
        <v>161</v>
      </c>
      <c r="P22" t="s">
        <v>134</v>
      </c>
      <c r="Q22" t="s">
        <v>142</v>
      </c>
      <c r="R22" t="s">
        <v>142</v>
      </c>
      <c r="S22" t="s">
        <v>187</v>
      </c>
      <c r="T22">
        <v>75</v>
      </c>
      <c r="U22" t="s">
        <v>181</v>
      </c>
      <c r="AB22" s="14" t="s">
        <v>134</v>
      </c>
      <c r="AC22" s="14" t="s">
        <v>197</v>
      </c>
      <c r="AD22" s="14" t="s">
        <v>198</v>
      </c>
      <c r="AF22" s="14" t="s">
        <v>495</v>
      </c>
      <c r="AG22" s="14"/>
      <c r="AH22" t="s">
        <v>262</v>
      </c>
      <c r="AI22" t="s">
        <v>263</v>
      </c>
      <c r="AJ22">
        <v>43543</v>
      </c>
      <c r="AK22" t="s">
        <v>1035</v>
      </c>
    </row>
    <row r="23" spans="4:37" x14ac:dyDescent="0.3">
      <c r="D23" t="s">
        <v>9</v>
      </c>
      <c r="E23" t="s">
        <v>29</v>
      </c>
      <c r="F23">
        <v>250</v>
      </c>
      <c r="G23">
        <v>5</v>
      </c>
      <c r="H23">
        <v>1</v>
      </c>
      <c r="I23">
        <v>0</v>
      </c>
      <c r="M23" s="14" t="s">
        <v>113</v>
      </c>
      <c r="N23" s="14" t="s">
        <v>132</v>
      </c>
      <c r="P23" t="s">
        <v>134</v>
      </c>
      <c r="Q23" t="s">
        <v>145</v>
      </c>
      <c r="R23" t="s">
        <v>145</v>
      </c>
      <c r="S23" t="s">
        <v>190</v>
      </c>
      <c r="T23">
        <v>90</v>
      </c>
      <c r="U23" t="s">
        <v>181</v>
      </c>
      <c r="AB23" s="14" t="s">
        <v>9</v>
      </c>
      <c r="AC23" s="14" t="s">
        <v>142</v>
      </c>
      <c r="AD23" s="14" t="s">
        <v>142</v>
      </c>
      <c r="AF23" s="14" t="s">
        <v>815</v>
      </c>
      <c r="AG23" s="14"/>
      <c r="AH23" t="s">
        <v>264</v>
      </c>
      <c r="AI23" t="s">
        <v>265</v>
      </c>
      <c r="AJ23">
        <v>43464</v>
      </c>
      <c r="AK23" t="s">
        <v>1037</v>
      </c>
    </row>
    <row r="24" spans="4:37" x14ac:dyDescent="0.3">
      <c r="D24" t="s">
        <v>9</v>
      </c>
      <c r="E24" t="s">
        <v>30</v>
      </c>
      <c r="F24">
        <v>250</v>
      </c>
      <c r="G24">
        <v>5</v>
      </c>
      <c r="H24">
        <v>0</v>
      </c>
      <c r="I24">
        <v>0</v>
      </c>
      <c r="M24" s="14" t="s">
        <v>113</v>
      </c>
      <c r="N24" s="14" t="s">
        <v>130</v>
      </c>
      <c r="P24" t="s">
        <v>9</v>
      </c>
      <c r="Q24" t="s">
        <v>142</v>
      </c>
      <c r="R24" t="s">
        <v>214</v>
      </c>
      <c r="S24" t="s">
        <v>183</v>
      </c>
      <c r="T24">
        <v>50</v>
      </c>
      <c r="U24" t="s">
        <v>184</v>
      </c>
      <c r="AB24" s="14" t="s">
        <v>9</v>
      </c>
      <c r="AC24" s="14" t="s">
        <v>142</v>
      </c>
      <c r="AD24" s="14" t="s">
        <v>211</v>
      </c>
      <c r="AF24" s="14" t="s">
        <v>643</v>
      </c>
      <c r="AG24" s="14"/>
      <c r="AH24" t="s">
        <v>266</v>
      </c>
      <c r="AI24" t="s">
        <v>265</v>
      </c>
      <c r="AJ24">
        <v>43464</v>
      </c>
      <c r="AK24" t="s">
        <v>1037</v>
      </c>
    </row>
    <row r="25" spans="4:37" x14ac:dyDescent="0.3">
      <c r="D25" t="s">
        <v>9</v>
      </c>
      <c r="E25" t="s">
        <v>31</v>
      </c>
      <c r="F25">
        <v>250</v>
      </c>
      <c r="G25">
        <v>5</v>
      </c>
      <c r="H25">
        <v>0</v>
      </c>
      <c r="I25">
        <v>0</v>
      </c>
      <c r="M25" s="14" t="s">
        <v>113</v>
      </c>
      <c r="N25" s="14" t="s">
        <v>177</v>
      </c>
      <c r="P25" t="s">
        <v>9</v>
      </c>
      <c r="Q25" t="s">
        <v>142</v>
      </c>
      <c r="R25" t="s">
        <v>142</v>
      </c>
      <c r="S25" t="s">
        <v>215</v>
      </c>
      <c r="T25">
        <v>50</v>
      </c>
      <c r="U25" t="s">
        <v>181</v>
      </c>
      <c r="AB25" s="14" t="s">
        <v>9</v>
      </c>
      <c r="AC25" s="14" t="s">
        <v>142</v>
      </c>
      <c r="AD25" s="14" t="s">
        <v>212</v>
      </c>
      <c r="AF25" s="14" t="s">
        <v>919</v>
      </c>
      <c r="AG25" s="14"/>
      <c r="AH25" t="s">
        <v>267</v>
      </c>
      <c r="AI25" t="s">
        <v>268</v>
      </c>
      <c r="AJ25">
        <v>43462</v>
      </c>
      <c r="AK25" t="s">
        <v>1039</v>
      </c>
    </row>
    <row r="26" spans="4:37" x14ac:dyDescent="0.3">
      <c r="D26" t="s">
        <v>9</v>
      </c>
      <c r="E26" t="s">
        <v>32</v>
      </c>
      <c r="F26">
        <v>249</v>
      </c>
      <c r="G26">
        <v>5</v>
      </c>
      <c r="H26">
        <v>1</v>
      </c>
      <c r="I26">
        <v>0</v>
      </c>
      <c r="M26" s="14" t="s">
        <v>113</v>
      </c>
      <c r="N26" s="14" t="s">
        <v>131</v>
      </c>
      <c r="P26" t="s">
        <v>9</v>
      </c>
      <c r="Q26" t="s">
        <v>142</v>
      </c>
      <c r="R26" t="s">
        <v>216</v>
      </c>
      <c r="S26" t="s">
        <v>183</v>
      </c>
      <c r="T26">
        <v>46</v>
      </c>
      <c r="U26" t="s">
        <v>184</v>
      </c>
      <c r="AB26" s="14" t="s">
        <v>9</v>
      </c>
      <c r="AC26" s="14" t="s">
        <v>142</v>
      </c>
      <c r="AD26" s="14" t="s">
        <v>214</v>
      </c>
      <c r="AF26" s="14" t="s">
        <v>675</v>
      </c>
      <c r="AG26" s="14"/>
      <c r="AH26" t="s">
        <v>269</v>
      </c>
      <c r="AI26" t="s">
        <v>270</v>
      </c>
      <c r="AJ26">
        <v>43456</v>
      </c>
      <c r="AK26" t="s">
        <v>1037</v>
      </c>
    </row>
    <row r="27" spans="4:37" x14ac:dyDescent="0.3">
      <c r="D27" t="s">
        <v>9</v>
      </c>
      <c r="E27" t="s">
        <v>33</v>
      </c>
      <c r="F27">
        <v>249</v>
      </c>
      <c r="G27">
        <v>5</v>
      </c>
      <c r="H27">
        <v>0</v>
      </c>
      <c r="I27">
        <v>0</v>
      </c>
      <c r="M27" s="14" t="s">
        <v>134</v>
      </c>
      <c r="N27" s="14" t="s">
        <v>140</v>
      </c>
      <c r="P27" t="s">
        <v>146</v>
      </c>
      <c r="Q27" t="s">
        <v>142</v>
      </c>
      <c r="R27" t="s">
        <v>142</v>
      </c>
      <c r="S27" t="s">
        <v>193</v>
      </c>
      <c r="T27">
        <v>100</v>
      </c>
      <c r="U27" t="s">
        <v>181</v>
      </c>
      <c r="AB27" s="14" t="s">
        <v>9</v>
      </c>
      <c r="AC27" s="14" t="s">
        <v>142</v>
      </c>
      <c r="AD27" s="14" t="s">
        <v>213</v>
      </c>
      <c r="AF27" s="14" t="s">
        <v>484</v>
      </c>
      <c r="AG27" s="14"/>
      <c r="AH27" t="s">
        <v>271</v>
      </c>
      <c r="AI27" t="s">
        <v>272</v>
      </c>
      <c r="AJ27">
        <v>43454</v>
      </c>
      <c r="AK27" t="s">
        <v>1038</v>
      </c>
    </row>
    <row r="28" spans="4:37" x14ac:dyDescent="0.3">
      <c r="D28" t="s">
        <v>9</v>
      </c>
      <c r="E28" t="s">
        <v>34</v>
      </c>
      <c r="F28">
        <v>250</v>
      </c>
      <c r="G28">
        <v>5</v>
      </c>
      <c r="H28">
        <v>1</v>
      </c>
      <c r="I28">
        <v>0</v>
      </c>
      <c r="M28" s="14" t="s">
        <v>134</v>
      </c>
      <c r="N28" s="14" t="s">
        <v>136</v>
      </c>
      <c r="P28" t="s">
        <v>146</v>
      </c>
      <c r="Q28" t="s">
        <v>145</v>
      </c>
      <c r="R28" t="s">
        <v>145</v>
      </c>
      <c r="S28" t="s">
        <v>196</v>
      </c>
      <c r="T28">
        <v>110</v>
      </c>
      <c r="U28" t="s">
        <v>181</v>
      </c>
      <c r="AB28" s="14" t="s">
        <v>9</v>
      </c>
      <c r="AC28" s="14" t="s">
        <v>142</v>
      </c>
      <c r="AD28" s="14" t="s">
        <v>210</v>
      </c>
      <c r="AF28" s="14" t="s">
        <v>707</v>
      </c>
      <c r="AG28" s="14"/>
      <c r="AH28" t="s">
        <v>273</v>
      </c>
      <c r="AI28" t="s">
        <v>258</v>
      </c>
      <c r="AJ28">
        <v>43453</v>
      </c>
      <c r="AK28" t="s">
        <v>1038</v>
      </c>
    </row>
    <row r="29" spans="4:37" x14ac:dyDescent="0.3">
      <c r="D29" t="s">
        <v>9</v>
      </c>
      <c r="E29" t="s">
        <v>35</v>
      </c>
      <c r="F29">
        <v>250</v>
      </c>
      <c r="G29">
        <v>5</v>
      </c>
      <c r="H29">
        <v>1</v>
      </c>
      <c r="I29">
        <v>0</v>
      </c>
      <c r="M29" s="14" t="s">
        <v>134</v>
      </c>
      <c r="N29" s="14" t="s">
        <v>139</v>
      </c>
      <c r="P29" t="s">
        <v>147</v>
      </c>
      <c r="Q29" t="s">
        <v>142</v>
      </c>
      <c r="R29" t="s">
        <v>142</v>
      </c>
      <c r="S29" t="s">
        <v>199</v>
      </c>
      <c r="T29">
        <v>120</v>
      </c>
      <c r="U29" t="s">
        <v>181</v>
      </c>
      <c r="AB29" s="14" t="s">
        <v>9</v>
      </c>
      <c r="AC29" s="14" t="s">
        <v>142</v>
      </c>
      <c r="AD29" s="14" t="s">
        <v>216</v>
      </c>
      <c r="AF29" s="14" t="s">
        <v>1019</v>
      </c>
      <c r="AG29" s="14"/>
      <c r="AH29" t="s">
        <v>274</v>
      </c>
      <c r="AI29" t="s">
        <v>258</v>
      </c>
      <c r="AJ29">
        <v>43456</v>
      </c>
      <c r="AK29" t="s">
        <v>1038</v>
      </c>
    </row>
    <row r="30" spans="4:37" x14ac:dyDescent="0.3">
      <c r="D30" t="s">
        <v>9</v>
      </c>
      <c r="E30" t="s">
        <v>36</v>
      </c>
      <c r="F30">
        <v>250</v>
      </c>
      <c r="G30">
        <v>5</v>
      </c>
      <c r="H30">
        <v>0</v>
      </c>
      <c r="I30">
        <v>0</v>
      </c>
      <c r="M30" s="14" t="s">
        <v>134</v>
      </c>
      <c r="N30" s="14" t="s">
        <v>137</v>
      </c>
      <c r="P30" t="s">
        <v>147</v>
      </c>
      <c r="Q30" t="s">
        <v>145</v>
      </c>
      <c r="R30" t="s">
        <v>145</v>
      </c>
      <c r="S30" t="s">
        <v>217</v>
      </c>
      <c r="T30">
        <v>125</v>
      </c>
      <c r="U30" t="s">
        <v>181</v>
      </c>
      <c r="AB30" s="14" t="s">
        <v>9</v>
      </c>
      <c r="AC30" s="14" t="s">
        <v>142</v>
      </c>
      <c r="AD30" s="14" t="s">
        <v>209</v>
      </c>
      <c r="AF30" s="14" t="s">
        <v>932</v>
      </c>
      <c r="AG30" s="14"/>
      <c r="AH30" t="s">
        <v>275</v>
      </c>
      <c r="AI30" t="s">
        <v>276</v>
      </c>
      <c r="AJ30">
        <v>43523</v>
      </c>
      <c r="AK30" t="s">
        <v>1040</v>
      </c>
    </row>
    <row r="31" spans="4:37" x14ac:dyDescent="0.3">
      <c r="D31" t="s">
        <v>9</v>
      </c>
      <c r="E31" t="s">
        <v>37</v>
      </c>
      <c r="F31">
        <v>250</v>
      </c>
      <c r="G31">
        <v>5</v>
      </c>
      <c r="H31">
        <v>2</v>
      </c>
      <c r="I31">
        <v>0</v>
      </c>
      <c r="M31" s="14" t="s">
        <v>134</v>
      </c>
      <c r="N31" s="14" t="s">
        <v>135</v>
      </c>
      <c r="P31" t="s">
        <v>9</v>
      </c>
      <c r="Q31" t="s">
        <v>145</v>
      </c>
      <c r="R31" t="s">
        <v>145</v>
      </c>
      <c r="S31" t="s">
        <v>218</v>
      </c>
      <c r="T31">
        <v>55</v>
      </c>
      <c r="U31" t="s">
        <v>181</v>
      </c>
      <c r="AB31" s="14" t="s">
        <v>9</v>
      </c>
      <c r="AC31" s="14" t="s">
        <v>142</v>
      </c>
      <c r="AD31" s="14" t="s">
        <v>182</v>
      </c>
      <c r="AF31" s="14" t="s">
        <v>799</v>
      </c>
      <c r="AG31" s="14"/>
      <c r="AH31" t="s">
        <v>277</v>
      </c>
      <c r="AI31" t="s">
        <v>278</v>
      </c>
      <c r="AJ31">
        <v>43410</v>
      </c>
      <c r="AK31" t="s">
        <v>1035</v>
      </c>
    </row>
    <row r="32" spans="4:37" x14ac:dyDescent="0.3">
      <c r="D32" t="s">
        <v>9</v>
      </c>
      <c r="E32" t="s">
        <v>38</v>
      </c>
      <c r="F32">
        <v>200</v>
      </c>
      <c r="G32">
        <v>4</v>
      </c>
      <c r="H32">
        <v>1</v>
      </c>
      <c r="I32">
        <v>0</v>
      </c>
      <c r="M32" s="14" t="s">
        <v>134</v>
      </c>
      <c r="N32" s="14" t="s">
        <v>138</v>
      </c>
      <c r="P32" t="s">
        <v>9</v>
      </c>
      <c r="Q32" t="s">
        <v>145</v>
      </c>
      <c r="R32" t="s">
        <v>219</v>
      </c>
      <c r="S32" t="s">
        <v>218</v>
      </c>
      <c r="T32">
        <v>55</v>
      </c>
      <c r="U32" t="s">
        <v>184</v>
      </c>
      <c r="AB32" s="14" t="s">
        <v>9</v>
      </c>
      <c r="AC32" s="14" t="s">
        <v>145</v>
      </c>
      <c r="AD32" s="14" t="s">
        <v>145</v>
      </c>
      <c r="AF32" s="14" t="s">
        <v>509</v>
      </c>
      <c r="AG32" s="14"/>
      <c r="AH32" t="s">
        <v>279</v>
      </c>
      <c r="AI32" t="s">
        <v>258</v>
      </c>
      <c r="AJ32">
        <v>43411</v>
      </c>
      <c r="AK32" t="s">
        <v>1038</v>
      </c>
    </row>
    <row r="33" spans="4:37" x14ac:dyDescent="0.3">
      <c r="D33" t="s">
        <v>9</v>
      </c>
      <c r="E33" t="s">
        <v>39</v>
      </c>
      <c r="F33">
        <v>200</v>
      </c>
      <c r="G33">
        <v>4</v>
      </c>
      <c r="H33">
        <v>1</v>
      </c>
      <c r="I33">
        <v>0</v>
      </c>
      <c r="M33" s="14" t="s">
        <v>9</v>
      </c>
      <c r="N33" s="14" t="s">
        <v>45</v>
      </c>
      <c r="P33" t="s">
        <v>9</v>
      </c>
      <c r="Q33" t="s">
        <v>145</v>
      </c>
      <c r="R33" t="s">
        <v>220</v>
      </c>
      <c r="S33" t="s">
        <v>218</v>
      </c>
      <c r="T33">
        <v>55</v>
      </c>
      <c r="U33" t="s">
        <v>184</v>
      </c>
      <c r="AB33" s="14" t="s">
        <v>9</v>
      </c>
      <c r="AC33" s="14" t="s">
        <v>145</v>
      </c>
      <c r="AD33" s="14" t="s">
        <v>219</v>
      </c>
      <c r="AF33" s="14" t="s">
        <v>383</v>
      </c>
      <c r="AG33" s="14"/>
      <c r="AH33" t="s">
        <v>280</v>
      </c>
      <c r="AI33" t="s">
        <v>281</v>
      </c>
      <c r="AJ33">
        <v>43433</v>
      </c>
      <c r="AK33" t="s">
        <v>1038</v>
      </c>
    </row>
    <row r="34" spans="4:37" x14ac:dyDescent="0.3">
      <c r="D34" t="s">
        <v>9</v>
      </c>
      <c r="E34" t="s">
        <v>40</v>
      </c>
      <c r="F34">
        <v>200</v>
      </c>
      <c r="G34">
        <v>4</v>
      </c>
      <c r="H34">
        <v>1</v>
      </c>
      <c r="I34">
        <v>0</v>
      </c>
      <c r="M34" s="14" t="s">
        <v>9</v>
      </c>
      <c r="N34" s="14" t="s">
        <v>25</v>
      </c>
      <c r="P34" t="s">
        <v>9</v>
      </c>
      <c r="Q34" t="s">
        <v>145</v>
      </c>
      <c r="R34" t="s">
        <v>221</v>
      </c>
      <c r="S34" t="s">
        <v>218</v>
      </c>
      <c r="T34">
        <v>55</v>
      </c>
      <c r="U34" t="s">
        <v>184</v>
      </c>
      <c r="AB34" s="14" t="s">
        <v>9</v>
      </c>
      <c r="AC34" s="14" t="s">
        <v>145</v>
      </c>
      <c r="AD34" s="14" t="s">
        <v>220</v>
      </c>
      <c r="AF34" s="14" t="s">
        <v>378</v>
      </c>
      <c r="AG34" s="14"/>
      <c r="AH34" t="s">
        <v>282</v>
      </c>
      <c r="AI34" t="s">
        <v>258</v>
      </c>
      <c r="AJ34">
        <v>43389</v>
      </c>
      <c r="AK34" t="s">
        <v>1038</v>
      </c>
    </row>
    <row r="35" spans="4:37" x14ac:dyDescent="0.3">
      <c r="D35" t="s">
        <v>9</v>
      </c>
      <c r="E35" t="s">
        <v>41</v>
      </c>
      <c r="F35">
        <v>200</v>
      </c>
      <c r="G35">
        <v>4</v>
      </c>
      <c r="H35">
        <v>1</v>
      </c>
      <c r="I35">
        <v>0</v>
      </c>
      <c r="M35" s="14" t="s">
        <v>9</v>
      </c>
      <c r="N35" s="14" t="s">
        <v>14</v>
      </c>
      <c r="P35" t="s">
        <v>9</v>
      </c>
      <c r="Q35" t="s">
        <v>145</v>
      </c>
      <c r="R35" t="s">
        <v>222</v>
      </c>
      <c r="S35" t="s">
        <v>218</v>
      </c>
      <c r="T35">
        <v>55</v>
      </c>
      <c r="U35" t="s">
        <v>184</v>
      </c>
      <c r="AB35" s="14" t="s">
        <v>9</v>
      </c>
      <c r="AC35" s="14" t="s">
        <v>145</v>
      </c>
      <c r="AD35" s="14" t="s">
        <v>221</v>
      </c>
      <c r="AF35" s="14" t="s">
        <v>342</v>
      </c>
      <c r="AG35" s="14"/>
      <c r="AH35" t="s">
        <v>283</v>
      </c>
      <c r="AI35" t="s">
        <v>284</v>
      </c>
      <c r="AJ35">
        <v>43373</v>
      </c>
      <c r="AK35" t="s">
        <v>1038</v>
      </c>
    </row>
    <row r="36" spans="4:37" x14ac:dyDescent="0.3">
      <c r="D36" t="s">
        <v>9</v>
      </c>
      <c r="E36" t="s">
        <v>42</v>
      </c>
      <c r="F36">
        <v>200</v>
      </c>
      <c r="G36">
        <v>4</v>
      </c>
      <c r="H36">
        <v>0</v>
      </c>
      <c r="I36">
        <v>0</v>
      </c>
      <c r="M36" s="14" t="s">
        <v>9</v>
      </c>
      <c r="N36" s="14" t="s">
        <v>89</v>
      </c>
      <c r="P36" t="s">
        <v>9</v>
      </c>
      <c r="Q36" t="s">
        <v>145</v>
      </c>
      <c r="R36" t="s">
        <v>223</v>
      </c>
      <c r="S36" t="s">
        <v>218</v>
      </c>
      <c r="T36">
        <v>55</v>
      </c>
      <c r="U36" t="s">
        <v>184</v>
      </c>
      <c r="AB36" s="14" t="s">
        <v>9</v>
      </c>
      <c r="AC36" s="14" t="s">
        <v>145</v>
      </c>
      <c r="AD36" s="14" t="s">
        <v>222</v>
      </c>
      <c r="AF36" s="14" t="s">
        <v>392</v>
      </c>
      <c r="AG36" s="14"/>
      <c r="AH36" t="s">
        <v>285</v>
      </c>
      <c r="AI36" t="s">
        <v>258</v>
      </c>
      <c r="AJ36">
        <v>43372</v>
      </c>
      <c r="AK36" t="s">
        <v>1038</v>
      </c>
    </row>
    <row r="37" spans="4:37" x14ac:dyDescent="0.3">
      <c r="D37" t="s">
        <v>9</v>
      </c>
      <c r="E37" t="s">
        <v>43</v>
      </c>
      <c r="F37">
        <v>200</v>
      </c>
      <c r="G37">
        <v>4</v>
      </c>
      <c r="H37">
        <v>0</v>
      </c>
      <c r="I37">
        <v>0</v>
      </c>
      <c r="M37" s="14" t="s">
        <v>9</v>
      </c>
      <c r="N37" s="14" t="s">
        <v>90</v>
      </c>
      <c r="P37" t="s">
        <v>113</v>
      </c>
      <c r="Q37" t="s">
        <v>145</v>
      </c>
      <c r="R37" t="s">
        <v>224</v>
      </c>
      <c r="S37" t="s">
        <v>180</v>
      </c>
      <c r="T37">
        <v>42</v>
      </c>
      <c r="U37" t="s">
        <v>184</v>
      </c>
      <c r="AB37" s="14" t="s">
        <v>9</v>
      </c>
      <c r="AC37" s="14" t="s">
        <v>145</v>
      </c>
      <c r="AD37" s="14" t="s">
        <v>223</v>
      </c>
      <c r="AF37" s="14" t="s">
        <v>476</v>
      </c>
      <c r="AG37" s="14"/>
      <c r="AH37" t="s">
        <v>286</v>
      </c>
      <c r="AI37" t="s">
        <v>258</v>
      </c>
      <c r="AJ37">
        <v>43372</v>
      </c>
      <c r="AK37" t="s">
        <v>1038</v>
      </c>
    </row>
    <row r="38" spans="4:37" x14ac:dyDescent="0.3">
      <c r="D38" t="s">
        <v>9</v>
      </c>
      <c r="E38" t="s">
        <v>44</v>
      </c>
      <c r="F38">
        <v>200</v>
      </c>
      <c r="G38">
        <v>4</v>
      </c>
      <c r="H38">
        <v>1</v>
      </c>
      <c r="I38">
        <v>0</v>
      </c>
      <c r="M38" s="14" t="s">
        <v>9</v>
      </c>
      <c r="N38" s="14" t="s">
        <v>87</v>
      </c>
      <c r="AF38" s="14" t="s">
        <v>989</v>
      </c>
      <c r="AG38" s="14"/>
      <c r="AH38" t="s">
        <v>287</v>
      </c>
      <c r="AI38" t="s">
        <v>258</v>
      </c>
      <c r="AJ38">
        <v>43372</v>
      </c>
      <c r="AK38" t="s">
        <v>1038</v>
      </c>
    </row>
    <row r="39" spans="4:37" x14ac:dyDescent="0.3">
      <c r="D39" t="s">
        <v>9</v>
      </c>
      <c r="E39" t="s">
        <v>45</v>
      </c>
      <c r="F39">
        <v>200</v>
      </c>
      <c r="G39">
        <v>4</v>
      </c>
      <c r="H39">
        <v>1</v>
      </c>
      <c r="I39">
        <v>1</v>
      </c>
      <c r="M39" s="14" t="s">
        <v>9</v>
      </c>
      <c r="N39" s="14" t="s">
        <v>88</v>
      </c>
      <c r="AF39" s="14" t="s">
        <v>549</v>
      </c>
      <c r="AG39" s="14"/>
      <c r="AH39" t="s">
        <v>288</v>
      </c>
      <c r="AI39" t="s">
        <v>243</v>
      </c>
      <c r="AJ39">
        <v>43371</v>
      </c>
      <c r="AK39" t="s">
        <v>1038</v>
      </c>
    </row>
    <row r="40" spans="4:37" x14ac:dyDescent="0.3">
      <c r="D40" t="s">
        <v>9</v>
      </c>
      <c r="E40" t="s">
        <v>46</v>
      </c>
      <c r="F40">
        <v>200</v>
      </c>
      <c r="G40">
        <v>4</v>
      </c>
      <c r="H40">
        <v>0</v>
      </c>
      <c r="I40">
        <v>0</v>
      </c>
      <c r="M40" s="14" t="s">
        <v>9</v>
      </c>
      <c r="N40" s="14" t="s">
        <v>91</v>
      </c>
      <c r="AF40" s="14" t="s">
        <v>471</v>
      </c>
      <c r="AG40" s="14"/>
      <c r="AH40" t="s">
        <v>289</v>
      </c>
      <c r="AI40" t="s">
        <v>290</v>
      </c>
      <c r="AJ40">
        <v>43372</v>
      </c>
      <c r="AK40" t="s">
        <v>1038</v>
      </c>
    </row>
    <row r="41" spans="4:37" x14ac:dyDescent="0.3">
      <c r="D41" t="s">
        <v>9</v>
      </c>
      <c r="E41" t="s">
        <v>47</v>
      </c>
      <c r="F41">
        <v>200</v>
      </c>
      <c r="G41">
        <v>4</v>
      </c>
      <c r="H41">
        <v>0</v>
      </c>
      <c r="I41">
        <v>0</v>
      </c>
      <c r="M41" s="14" t="s">
        <v>9</v>
      </c>
      <c r="N41" s="14" t="s">
        <v>93</v>
      </c>
      <c r="AF41" s="14" t="s">
        <v>430</v>
      </c>
      <c r="AG41" s="14"/>
      <c r="AH41" t="s">
        <v>291</v>
      </c>
      <c r="AI41" t="s">
        <v>292</v>
      </c>
      <c r="AJ41">
        <v>43351</v>
      </c>
      <c r="AK41" t="s">
        <v>1038</v>
      </c>
    </row>
    <row r="42" spans="4:37" x14ac:dyDescent="0.3">
      <c r="D42" t="s">
        <v>9</v>
      </c>
      <c r="E42" t="s">
        <v>48</v>
      </c>
      <c r="F42">
        <v>200</v>
      </c>
      <c r="G42">
        <v>4</v>
      </c>
      <c r="H42">
        <v>1</v>
      </c>
      <c r="I42">
        <v>0</v>
      </c>
      <c r="M42" s="14" t="s">
        <v>9</v>
      </c>
      <c r="N42" s="14" t="s">
        <v>94</v>
      </c>
      <c r="AF42" s="14" t="s">
        <v>782</v>
      </c>
      <c r="AG42" s="14"/>
      <c r="AH42" t="s">
        <v>293</v>
      </c>
      <c r="AI42" t="s">
        <v>258</v>
      </c>
      <c r="AJ42">
        <v>43358</v>
      </c>
      <c r="AK42" t="s">
        <v>1038</v>
      </c>
    </row>
    <row r="43" spans="4:37" x14ac:dyDescent="0.3">
      <c r="D43" t="s">
        <v>9</v>
      </c>
      <c r="E43" t="s">
        <v>49</v>
      </c>
      <c r="F43">
        <v>200</v>
      </c>
      <c r="G43">
        <v>4</v>
      </c>
      <c r="H43">
        <v>1</v>
      </c>
      <c r="I43">
        <v>0</v>
      </c>
      <c r="M43" s="14" t="s">
        <v>9</v>
      </c>
      <c r="N43" s="14" t="s">
        <v>95</v>
      </c>
      <c r="AF43" s="14" t="s">
        <v>740</v>
      </c>
      <c r="AG43" s="14"/>
      <c r="AH43" t="s">
        <v>294</v>
      </c>
      <c r="AI43" t="s">
        <v>258</v>
      </c>
      <c r="AJ43">
        <v>43334</v>
      </c>
      <c r="AK43" t="s">
        <v>1038</v>
      </c>
    </row>
    <row r="44" spans="4:37" x14ac:dyDescent="0.3">
      <c r="D44" t="s">
        <v>9</v>
      </c>
      <c r="E44" t="s">
        <v>50</v>
      </c>
      <c r="F44">
        <v>200</v>
      </c>
      <c r="G44">
        <v>4</v>
      </c>
      <c r="H44">
        <v>1</v>
      </c>
      <c r="I44">
        <v>0</v>
      </c>
      <c r="M44" s="14" t="s">
        <v>9</v>
      </c>
      <c r="N44" s="14" t="s">
        <v>92</v>
      </c>
      <c r="AF44" s="14" t="s">
        <v>374</v>
      </c>
      <c r="AG44" s="14"/>
      <c r="AH44" t="s">
        <v>295</v>
      </c>
      <c r="AI44" t="s">
        <v>247</v>
      </c>
      <c r="AJ44">
        <v>43728</v>
      </c>
      <c r="AK44" t="s">
        <v>1038</v>
      </c>
    </row>
    <row r="45" spans="4:37" x14ac:dyDescent="0.3">
      <c r="D45" t="s">
        <v>9</v>
      </c>
      <c r="E45" t="s">
        <v>51</v>
      </c>
      <c r="F45">
        <v>200</v>
      </c>
      <c r="G45">
        <v>4</v>
      </c>
      <c r="H45">
        <v>0</v>
      </c>
      <c r="I45">
        <v>0</v>
      </c>
      <c r="M45" s="14" t="s">
        <v>9</v>
      </c>
      <c r="N45" s="14" t="s">
        <v>80</v>
      </c>
      <c r="AF45" s="14" t="s">
        <v>371</v>
      </c>
      <c r="AG45" s="14"/>
      <c r="AH45" t="s">
        <v>296</v>
      </c>
      <c r="AI45" t="s">
        <v>243</v>
      </c>
      <c r="AJ45">
        <v>43281</v>
      </c>
      <c r="AK45" t="s">
        <v>1038</v>
      </c>
    </row>
    <row r="46" spans="4:37" x14ac:dyDescent="0.3">
      <c r="D46" t="s">
        <v>9</v>
      </c>
      <c r="E46" t="s">
        <v>52</v>
      </c>
      <c r="F46">
        <v>200</v>
      </c>
      <c r="G46">
        <v>4</v>
      </c>
      <c r="H46">
        <v>0</v>
      </c>
      <c r="I46">
        <v>0</v>
      </c>
      <c r="M46" s="14" t="s">
        <v>9</v>
      </c>
      <c r="N46" s="14" t="s">
        <v>81</v>
      </c>
      <c r="AF46" s="14" t="s">
        <v>434</v>
      </c>
      <c r="AG46" s="14"/>
      <c r="AH46" t="s">
        <v>297</v>
      </c>
      <c r="AI46" t="s">
        <v>292</v>
      </c>
      <c r="AJ46">
        <v>43283</v>
      </c>
      <c r="AK46" t="s">
        <v>1038</v>
      </c>
    </row>
    <row r="47" spans="4:37" x14ac:dyDescent="0.3">
      <c r="D47" t="s">
        <v>9</v>
      </c>
      <c r="E47" t="s">
        <v>53</v>
      </c>
      <c r="F47">
        <v>200</v>
      </c>
      <c r="G47">
        <v>4</v>
      </c>
      <c r="H47">
        <v>1</v>
      </c>
      <c r="I47">
        <v>0</v>
      </c>
      <c r="M47" s="14" t="s">
        <v>9</v>
      </c>
      <c r="N47" s="14" t="s">
        <v>78</v>
      </c>
      <c r="AF47" s="14" t="s">
        <v>477</v>
      </c>
      <c r="AG47" s="14"/>
      <c r="AH47" t="s">
        <v>298</v>
      </c>
      <c r="AI47" t="s">
        <v>292</v>
      </c>
      <c r="AJ47">
        <v>43344</v>
      </c>
      <c r="AK47" t="s">
        <v>1038</v>
      </c>
    </row>
    <row r="48" spans="4:37" x14ac:dyDescent="0.3">
      <c r="D48" t="s">
        <v>9</v>
      </c>
      <c r="E48" t="s">
        <v>54</v>
      </c>
      <c r="F48">
        <v>200</v>
      </c>
      <c r="G48">
        <v>4</v>
      </c>
      <c r="H48">
        <v>1</v>
      </c>
      <c r="I48">
        <v>0</v>
      </c>
      <c r="M48" s="14" t="s">
        <v>9</v>
      </c>
      <c r="N48" s="14" t="s">
        <v>79</v>
      </c>
      <c r="AF48" s="14" t="s">
        <v>616</v>
      </c>
      <c r="AG48" s="14"/>
      <c r="AH48" t="s">
        <v>299</v>
      </c>
      <c r="AI48" t="s">
        <v>292</v>
      </c>
      <c r="AJ48">
        <v>43274</v>
      </c>
      <c r="AK48" t="s">
        <v>1038</v>
      </c>
    </row>
    <row r="49" spans="4:37" x14ac:dyDescent="0.3">
      <c r="D49" t="s">
        <v>9</v>
      </c>
      <c r="E49" t="s">
        <v>55</v>
      </c>
      <c r="F49">
        <v>200</v>
      </c>
      <c r="G49">
        <v>4</v>
      </c>
      <c r="H49">
        <v>1</v>
      </c>
      <c r="I49">
        <v>0</v>
      </c>
      <c r="M49" s="14" t="s">
        <v>9</v>
      </c>
      <c r="N49" s="14" t="s">
        <v>82</v>
      </c>
      <c r="AF49" s="14" t="s">
        <v>843</v>
      </c>
      <c r="AG49" s="14"/>
      <c r="AH49" t="s">
        <v>300</v>
      </c>
      <c r="AI49" t="s">
        <v>301</v>
      </c>
      <c r="AJ49">
        <v>43254</v>
      </c>
      <c r="AK49" t="s">
        <v>1038</v>
      </c>
    </row>
    <row r="50" spans="4:37" x14ac:dyDescent="0.3">
      <c r="D50" t="s">
        <v>9</v>
      </c>
      <c r="E50" t="s">
        <v>56</v>
      </c>
      <c r="F50">
        <v>200</v>
      </c>
      <c r="G50">
        <v>4</v>
      </c>
      <c r="H50">
        <v>0</v>
      </c>
      <c r="I50">
        <v>0</v>
      </c>
      <c r="M50" s="14" t="s">
        <v>9</v>
      </c>
      <c r="N50" s="14" t="s">
        <v>85</v>
      </c>
      <c r="AF50" s="14" t="s">
        <v>833</v>
      </c>
      <c r="AG50" s="14"/>
      <c r="AH50" t="s">
        <v>302</v>
      </c>
      <c r="AI50" t="s">
        <v>303</v>
      </c>
      <c r="AJ50">
        <v>43252</v>
      </c>
      <c r="AK50" t="s">
        <v>1035</v>
      </c>
    </row>
    <row r="51" spans="4:37" x14ac:dyDescent="0.3">
      <c r="D51" t="s">
        <v>9</v>
      </c>
      <c r="E51" t="s">
        <v>57</v>
      </c>
      <c r="F51">
        <v>200</v>
      </c>
      <c r="G51">
        <v>4</v>
      </c>
      <c r="H51">
        <v>0</v>
      </c>
      <c r="I51">
        <v>0</v>
      </c>
      <c r="M51" s="14" t="s">
        <v>9</v>
      </c>
      <c r="N51" s="14" t="s">
        <v>86</v>
      </c>
      <c r="AF51" s="14" t="s">
        <v>390</v>
      </c>
      <c r="AG51" s="14"/>
      <c r="AH51" t="s">
        <v>304</v>
      </c>
      <c r="AI51" t="s">
        <v>305</v>
      </c>
      <c r="AJ51">
        <v>43280</v>
      </c>
      <c r="AK51" t="s">
        <v>1037</v>
      </c>
    </row>
    <row r="52" spans="4:37" x14ac:dyDescent="0.3">
      <c r="D52" t="s">
        <v>9</v>
      </c>
      <c r="E52" t="s">
        <v>58</v>
      </c>
      <c r="F52">
        <v>200</v>
      </c>
      <c r="G52">
        <v>4</v>
      </c>
      <c r="H52">
        <v>1</v>
      </c>
      <c r="I52">
        <v>0</v>
      </c>
      <c r="M52" s="14" t="s">
        <v>9</v>
      </c>
      <c r="N52" s="14" t="s">
        <v>83</v>
      </c>
      <c r="AF52" s="14" t="s">
        <v>395</v>
      </c>
      <c r="AG52" s="14"/>
      <c r="AH52" t="s">
        <v>306</v>
      </c>
      <c r="AI52" t="s">
        <v>258</v>
      </c>
      <c r="AJ52">
        <v>43272</v>
      </c>
      <c r="AK52" t="s">
        <v>1038</v>
      </c>
    </row>
    <row r="53" spans="4:37" x14ac:dyDescent="0.3">
      <c r="D53" t="s">
        <v>9</v>
      </c>
      <c r="E53" t="s">
        <v>59</v>
      </c>
      <c r="F53">
        <v>200</v>
      </c>
      <c r="G53">
        <v>4</v>
      </c>
      <c r="H53">
        <v>0</v>
      </c>
      <c r="I53">
        <v>0</v>
      </c>
      <c r="M53" s="14" t="s">
        <v>9</v>
      </c>
      <c r="N53" s="14" t="s">
        <v>84</v>
      </c>
      <c r="AF53" s="14" t="s">
        <v>1015</v>
      </c>
      <c r="AG53" s="14"/>
      <c r="AH53" t="s">
        <v>307</v>
      </c>
      <c r="AI53" t="s">
        <v>243</v>
      </c>
      <c r="AJ53">
        <v>43231</v>
      </c>
      <c r="AK53" t="s">
        <v>1038</v>
      </c>
    </row>
    <row r="54" spans="4:37" x14ac:dyDescent="0.3">
      <c r="D54" t="s">
        <v>9</v>
      </c>
      <c r="E54" t="s">
        <v>60</v>
      </c>
      <c r="F54">
        <v>200</v>
      </c>
      <c r="G54">
        <v>4</v>
      </c>
      <c r="H54">
        <v>1</v>
      </c>
      <c r="I54">
        <v>0</v>
      </c>
      <c r="M54" s="14" t="s">
        <v>9</v>
      </c>
      <c r="N54" s="14" t="s">
        <v>107</v>
      </c>
      <c r="AF54" s="14" t="s">
        <v>775</v>
      </c>
      <c r="AG54" s="14"/>
      <c r="AH54" t="s">
        <v>308</v>
      </c>
      <c r="AI54" t="s">
        <v>309</v>
      </c>
      <c r="AJ54">
        <v>43227</v>
      </c>
      <c r="AK54" t="s">
        <v>1038</v>
      </c>
    </row>
    <row r="55" spans="4:37" x14ac:dyDescent="0.3">
      <c r="D55" t="s">
        <v>9</v>
      </c>
      <c r="E55" t="s">
        <v>61</v>
      </c>
      <c r="F55">
        <v>199.5</v>
      </c>
      <c r="G55">
        <v>4</v>
      </c>
      <c r="H55">
        <v>1</v>
      </c>
      <c r="I55">
        <v>0</v>
      </c>
      <c r="M55" s="14" t="s">
        <v>9</v>
      </c>
      <c r="N55" s="14" t="s">
        <v>108</v>
      </c>
      <c r="AF55" s="14" t="s">
        <v>428</v>
      </c>
      <c r="AG55" s="14"/>
      <c r="AH55" t="s">
        <v>310</v>
      </c>
      <c r="AI55" t="s">
        <v>258</v>
      </c>
      <c r="AJ55">
        <v>43217</v>
      </c>
      <c r="AK55" t="s">
        <v>1038</v>
      </c>
    </row>
    <row r="56" spans="4:37" x14ac:dyDescent="0.3">
      <c r="D56" t="s">
        <v>9</v>
      </c>
      <c r="E56" t="s">
        <v>62</v>
      </c>
      <c r="F56">
        <v>199.5</v>
      </c>
      <c r="G56">
        <v>4</v>
      </c>
      <c r="H56">
        <v>1</v>
      </c>
      <c r="I56">
        <v>0</v>
      </c>
      <c r="M56" s="14" t="s">
        <v>9</v>
      </c>
      <c r="N56" s="14" t="s">
        <v>105</v>
      </c>
      <c r="AF56" s="14" t="s">
        <v>858</v>
      </c>
      <c r="AG56" s="14"/>
      <c r="AH56" t="s">
        <v>311</v>
      </c>
      <c r="AI56" t="s">
        <v>312</v>
      </c>
      <c r="AJ56">
        <v>43187</v>
      </c>
      <c r="AK56" t="s">
        <v>1038</v>
      </c>
    </row>
    <row r="57" spans="4:37" x14ac:dyDescent="0.3">
      <c r="D57" t="s">
        <v>9</v>
      </c>
      <c r="E57" t="s">
        <v>63</v>
      </c>
      <c r="F57">
        <v>150</v>
      </c>
      <c r="G57">
        <v>3</v>
      </c>
      <c r="H57">
        <v>0</v>
      </c>
      <c r="I57">
        <v>0</v>
      </c>
      <c r="M57" s="14" t="s">
        <v>9</v>
      </c>
      <c r="N57" s="14" t="s">
        <v>106</v>
      </c>
      <c r="AF57" s="14" t="s">
        <v>391</v>
      </c>
      <c r="AG57" s="14"/>
      <c r="AH57" t="s">
        <v>313</v>
      </c>
      <c r="AI57" t="s">
        <v>312</v>
      </c>
      <c r="AJ57">
        <v>43195</v>
      </c>
      <c r="AK57" t="s">
        <v>1035</v>
      </c>
    </row>
    <row r="58" spans="4:37" x14ac:dyDescent="0.3">
      <c r="D58" t="s">
        <v>9</v>
      </c>
      <c r="E58" t="s">
        <v>64</v>
      </c>
      <c r="F58">
        <v>150</v>
      </c>
      <c r="G58">
        <v>3</v>
      </c>
      <c r="H58">
        <v>0</v>
      </c>
      <c r="I58">
        <v>0</v>
      </c>
      <c r="M58" s="14" t="s">
        <v>9</v>
      </c>
      <c r="N58" s="14" t="s">
        <v>109</v>
      </c>
      <c r="AF58" s="14" t="s">
        <v>506</v>
      </c>
      <c r="AG58" s="14"/>
      <c r="AH58" t="s">
        <v>314</v>
      </c>
      <c r="AI58" t="s">
        <v>243</v>
      </c>
      <c r="AJ58">
        <v>43186</v>
      </c>
      <c r="AK58" t="s">
        <v>1038</v>
      </c>
    </row>
    <row r="59" spans="4:37" x14ac:dyDescent="0.3">
      <c r="D59" t="s">
        <v>9</v>
      </c>
      <c r="E59" t="s">
        <v>65</v>
      </c>
      <c r="F59">
        <v>150</v>
      </c>
      <c r="G59">
        <v>3</v>
      </c>
      <c r="H59">
        <v>1</v>
      </c>
      <c r="I59">
        <v>0</v>
      </c>
      <c r="M59" s="14" t="s">
        <v>9</v>
      </c>
      <c r="N59" s="14" t="s">
        <v>112</v>
      </c>
      <c r="AF59" s="14" t="s">
        <v>781</v>
      </c>
      <c r="AG59" s="14"/>
      <c r="AH59" t="s">
        <v>315</v>
      </c>
      <c r="AI59" t="s">
        <v>278</v>
      </c>
      <c r="AJ59">
        <v>43410</v>
      </c>
      <c r="AK59" t="s">
        <v>1035</v>
      </c>
    </row>
    <row r="60" spans="4:37" x14ac:dyDescent="0.3">
      <c r="D60" t="s">
        <v>9</v>
      </c>
      <c r="E60" t="s">
        <v>66</v>
      </c>
      <c r="F60">
        <v>150</v>
      </c>
      <c r="G60">
        <v>3</v>
      </c>
      <c r="H60">
        <v>1</v>
      </c>
      <c r="I60">
        <v>0</v>
      </c>
      <c r="M60" s="14" t="s">
        <v>9</v>
      </c>
      <c r="N60" s="14" t="s">
        <v>10</v>
      </c>
      <c r="AF60" s="14" t="s">
        <v>985</v>
      </c>
      <c r="AG60" s="14"/>
      <c r="AH60" t="s">
        <v>316</v>
      </c>
      <c r="AI60" t="s">
        <v>284</v>
      </c>
      <c r="AJ60">
        <v>43372</v>
      </c>
      <c r="AK60" t="s">
        <v>1038</v>
      </c>
    </row>
    <row r="61" spans="4:37" x14ac:dyDescent="0.3">
      <c r="D61" t="s">
        <v>9</v>
      </c>
      <c r="E61" t="s">
        <v>67</v>
      </c>
      <c r="F61">
        <v>150</v>
      </c>
      <c r="G61">
        <v>3</v>
      </c>
      <c r="H61">
        <v>1</v>
      </c>
      <c r="I61">
        <v>0</v>
      </c>
      <c r="M61" s="14" t="s">
        <v>9</v>
      </c>
      <c r="N61" s="14" t="s">
        <v>110</v>
      </c>
      <c r="AF61" s="14" t="s">
        <v>913</v>
      </c>
      <c r="AG61" s="14"/>
      <c r="AH61" t="s">
        <v>317</v>
      </c>
      <c r="AI61" t="s">
        <v>312</v>
      </c>
      <c r="AJ61">
        <v>43181</v>
      </c>
      <c r="AK61" t="s">
        <v>1038</v>
      </c>
    </row>
    <row r="62" spans="4:37" x14ac:dyDescent="0.3">
      <c r="D62" t="s">
        <v>9</v>
      </c>
      <c r="E62" t="s">
        <v>68</v>
      </c>
      <c r="F62">
        <v>149.5</v>
      </c>
      <c r="G62">
        <v>3</v>
      </c>
      <c r="H62">
        <v>1</v>
      </c>
      <c r="I62">
        <v>0</v>
      </c>
      <c r="M62" s="14" t="s">
        <v>9</v>
      </c>
      <c r="N62" s="14" t="s">
        <v>111</v>
      </c>
      <c r="AF62" s="14" t="s">
        <v>545</v>
      </c>
      <c r="AG62" s="14"/>
      <c r="AH62" t="s">
        <v>318</v>
      </c>
      <c r="AI62" t="s">
        <v>258</v>
      </c>
      <c r="AJ62">
        <v>43193</v>
      </c>
      <c r="AK62" t="s">
        <v>1038</v>
      </c>
    </row>
    <row r="63" spans="4:37" x14ac:dyDescent="0.3">
      <c r="D63" t="s">
        <v>9</v>
      </c>
      <c r="E63" t="s">
        <v>69</v>
      </c>
      <c r="F63">
        <v>150</v>
      </c>
      <c r="G63">
        <v>3</v>
      </c>
      <c r="H63">
        <v>1</v>
      </c>
      <c r="I63">
        <v>0</v>
      </c>
      <c r="M63" s="14" t="s">
        <v>9</v>
      </c>
      <c r="N63" s="14" t="s">
        <v>98</v>
      </c>
      <c r="AF63" s="14" t="s">
        <v>368</v>
      </c>
      <c r="AG63" s="14"/>
      <c r="AH63" t="s">
        <v>319</v>
      </c>
      <c r="AI63" t="s">
        <v>263</v>
      </c>
      <c r="AJ63">
        <v>43149</v>
      </c>
      <c r="AK63" t="s">
        <v>1035</v>
      </c>
    </row>
    <row r="64" spans="4:37" x14ac:dyDescent="0.3">
      <c r="D64" t="s">
        <v>9</v>
      </c>
      <c r="E64" t="s">
        <v>70</v>
      </c>
      <c r="F64">
        <v>150</v>
      </c>
      <c r="G64">
        <v>3</v>
      </c>
      <c r="H64">
        <v>1</v>
      </c>
      <c r="I64">
        <v>0</v>
      </c>
      <c r="M64" s="14" t="s">
        <v>9</v>
      </c>
      <c r="N64" s="14" t="s">
        <v>99</v>
      </c>
      <c r="AF64" s="14" t="s">
        <v>674</v>
      </c>
      <c r="AG64" s="14"/>
      <c r="AH64" t="s">
        <v>320</v>
      </c>
      <c r="AI64" t="s">
        <v>321</v>
      </c>
      <c r="AJ64">
        <v>43116</v>
      </c>
      <c r="AK64" t="s">
        <v>1035</v>
      </c>
    </row>
    <row r="65" spans="4:37" x14ac:dyDescent="0.3">
      <c r="D65" t="s">
        <v>9</v>
      </c>
      <c r="E65" t="s">
        <v>71</v>
      </c>
      <c r="F65">
        <v>150</v>
      </c>
      <c r="G65">
        <v>3</v>
      </c>
      <c r="H65">
        <v>1</v>
      </c>
      <c r="I65">
        <v>0</v>
      </c>
      <c r="M65" s="14" t="s">
        <v>9</v>
      </c>
      <c r="N65" s="14" t="s">
        <v>96</v>
      </c>
      <c r="AF65" s="14" t="s">
        <v>525</v>
      </c>
      <c r="AG65" s="14"/>
      <c r="AH65" t="s">
        <v>322</v>
      </c>
      <c r="AI65" t="s">
        <v>284</v>
      </c>
      <c r="AJ65">
        <v>43112</v>
      </c>
      <c r="AK65" t="s">
        <v>1038</v>
      </c>
    </row>
    <row r="66" spans="4:37" x14ac:dyDescent="0.3">
      <c r="D66" t="s">
        <v>9</v>
      </c>
      <c r="E66" t="s">
        <v>72</v>
      </c>
      <c r="F66">
        <v>125</v>
      </c>
      <c r="G66">
        <v>3</v>
      </c>
      <c r="H66">
        <v>1</v>
      </c>
      <c r="I66">
        <v>0</v>
      </c>
      <c r="M66" s="14" t="s">
        <v>9</v>
      </c>
      <c r="N66" s="14" t="s">
        <v>97</v>
      </c>
      <c r="AF66" s="14" t="s">
        <v>840</v>
      </c>
      <c r="AG66" s="14"/>
      <c r="AH66" t="s">
        <v>323</v>
      </c>
      <c r="AI66" t="s">
        <v>284</v>
      </c>
      <c r="AJ66">
        <v>43099</v>
      </c>
      <c r="AK66" t="s">
        <v>1038</v>
      </c>
    </row>
    <row r="67" spans="4:37" x14ac:dyDescent="0.3">
      <c r="D67" t="s">
        <v>9</v>
      </c>
      <c r="E67" t="s">
        <v>73</v>
      </c>
      <c r="F67">
        <v>125</v>
      </c>
      <c r="G67">
        <v>3</v>
      </c>
      <c r="H67">
        <v>1</v>
      </c>
      <c r="I67">
        <v>0</v>
      </c>
      <c r="M67" s="14" t="s">
        <v>9</v>
      </c>
      <c r="N67" s="14" t="s">
        <v>100</v>
      </c>
      <c r="AF67" s="14" t="s">
        <v>642</v>
      </c>
      <c r="AG67" s="14"/>
      <c r="AH67" t="s">
        <v>324</v>
      </c>
      <c r="AI67" t="s">
        <v>284</v>
      </c>
      <c r="AJ67">
        <v>43099</v>
      </c>
      <c r="AK67" t="s">
        <v>1038</v>
      </c>
    </row>
    <row r="68" spans="4:37" x14ac:dyDescent="0.3">
      <c r="D68" t="s">
        <v>9</v>
      </c>
      <c r="E68" t="s">
        <v>74</v>
      </c>
      <c r="F68">
        <v>125</v>
      </c>
      <c r="G68">
        <v>3</v>
      </c>
      <c r="H68">
        <v>1</v>
      </c>
      <c r="I68">
        <v>0</v>
      </c>
      <c r="M68" s="14" t="s">
        <v>9</v>
      </c>
      <c r="N68" s="14" t="s">
        <v>103</v>
      </c>
      <c r="AF68" s="14" t="s">
        <v>959</v>
      </c>
      <c r="AG68" s="14"/>
      <c r="AH68" t="s">
        <v>325</v>
      </c>
      <c r="AI68" t="s">
        <v>326</v>
      </c>
      <c r="AJ68">
        <v>43098</v>
      </c>
      <c r="AK68" t="s">
        <v>1038</v>
      </c>
    </row>
    <row r="69" spans="4:37" x14ac:dyDescent="0.3">
      <c r="D69" t="s">
        <v>9</v>
      </c>
      <c r="E69" t="s">
        <v>75</v>
      </c>
      <c r="F69">
        <v>125</v>
      </c>
      <c r="G69">
        <v>3</v>
      </c>
      <c r="H69">
        <v>1</v>
      </c>
      <c r="I69">
        <v>0</v>
      </c>
      <c r="M69" s="14" t="s">
        <v>9</v>
      </c>
      <c r="N69" s="14" t="s">
        <v>104</v>
      </c>
      <c r="AF69" s="14" t="s">
        <v>724</v>
      </c>
      <c r="AG69" s="14"/>
      <c r="AH69" t="s">
        <v>327</v>
      </c>
      <c r="AI69" t="s">
        <v>268</v>
      </c>
      <c r="AJ69">
        <v>43462</v>
      </c>
      <c r="AK69" t="s">
        <v>1039</v>
      </c>
    </row>
    <row r="70" spans="4:37" x14ac:dyDescent="0.3">
      <c r="D70" t="s">
        <v>9</v>
      </c>
      <c r="E70" t="s">
        <v>76</v>
      </c>
      <c r="F70">
        <v>125</v>
      </c>
      <c r="G70">
        <v>3</v>
      </c>
      <c r="H70">
        <v>1</v>
      </c>
      <c r="I70">
        <v>0</v>
      </c>
      <c r="M70" s="14" t="s">
        <v>9</v>
      </c>
      <c r="N70" s="14" t="s">
        <v>101</v>
      </c>
      <c r="AF70" s="14" t="s">
        <v>581</v>
      </c>
      <c r="AG70" s="14"/>
      <c r="AH70" t="s">
        <v>328</v>
      </c>
      <c r="AI70" t="s">
        <v>258</v>
      </c>
      <c r="AJ70">
        <v>43099</v>
      </c>
      <c r="AK70" t="s">
        <v>1038</v>
      </c>
    </row>
    <row r="71" spans="4:37" x14ac:dyDescent="0.3">
      <c r="D71" t="s">
        <v>9</v>
      </c>
      <c r="E71" t="s">
        <v>77</v>
      </c>
      <c r="F71">
        <v>125</v>
      </c>
      <c r="G71">
        <v>3</v>
      </c>
      <c r="H71">
        <v>1</v>
      </c>
      <c r="I71">
        <v>0</v>
      </c>
      <c r="M71" s="14" t="s">
        <v>9</v>
      </c>
      <c r="N71" s="14" t="s">
        <v>102</v>
      </c>
      <c r="AF71" s="14" t="s">
        <v>373</v>
      </c>
      <c r="AG71" s="14"/>
      <c r="AH71" t="s">
        <v>329</v>
      </c>
      <c r="AI71" t="s">
        <v>330</v>
      </c>
      <c r="AJ71">
        <v>43215</v>
      </c>
      <c r="AK71" t="s">
        <v>1037</v>
      </c>
    </row>
    <row r="72" spans="4:37" x14ac:dyDescent="0.3">
      <c r="D72" t="s">
        <v>9</v>
      </c>
      <c r="E72" t="s">
        <v>78</v>
      </c>
      <c r="F72">
        <v>100</v>
      </c>
      <c r="G72">
        <v>2</v>
      </c>
      <c r="H72">
        <v>1</v>
      </c>
      <c r="I72">
        <v>0</v>
      </c>
      <c r="M72" s="14" t="s">
        <v>9</v>
      </c>
      <c r="N72" s="14" t="s">
        <v>34</v>
      </c>
      <c r="AF72" s="14" t="s">
        <v>382</v>
      </c>
      <c r="AG72" s="14"/>
      <c r="AH72" t="s">
        <v>331</v>
      </c>
      <c r="AI72" t="s">
        <v>332</v>
      </c>
      <c r="AJ72">
        <v>43098</v>
      </c>
      <c r="AK72" t="s">
        <v>1037</v>
      </c>
    </row>
    <row r="73" spans="4:37" x14ac:dyDescent="0.3">
      <c r="D73" t="s">
        <v>9</v>
      </c>
      <c r="E73" t="s">
        <v>79</v>
      </c>
      <c r="F73">
        <v>99</v>
      </c>
      <c r="G73">
        <v>2</v>
      </c>
      <c r="H73">
        <v>1</v>
      </c>
      <c r="I73">
        <v>0</v>
      </c>
      <c r="M73" s="14" t="s">
        <v>9</v>
      </c>
      <c r="N73" s="14" t="s">
        <v>33</v>
      </c>
      <c r="AF73" s="14" t="s">
        <v>422</v>
      </c>
      <c r="AG73" s="14"/>
      <c r="AH73" t="s">
        <v>333</v>
      </c>
      <c r="AI73" t="s">
        <v>258</v>
      </c>
      <c r="AJ73">
        <v>43097</v>
      </c>
      <c r="AK73" t="s">
        <v>1038</v>
      </c>
    </row>
    <row r="74" spans="4:37" x14ac:dyDescent="0.3">
      <c r="D74" t="s">
        <v>9</v>
      </c>
      <c r="E74" t="s">
        <v>80</v>
      </c>
      <c r="F74">
        <v>100</v>
      </c>
      <c r="G74">
        <v>2</v>
      </c>
      <c r="H74">
        <v>1</v>
      </c>
      <c r="I74">
        <v>0</v>
      </c>
      <c r="M74" s="14" t="s">
        <v>9</v>
      </c>
      <c r="N74" s="14" t="s">
        <v>36</v>
      </c>
      <c r="AF74" s="14" t="s">
        <v>1014</v>
      </c>
      <c r="AG74" s="14"/>
      <c r="AH74" t="s">
        <v>334</v>
      </c>
      <c r="AI74" t="s">
        <v>332</v>
      </c>
      <c r="AJ74">
        <v>43092</v>
      </c>
      <c r="AK74" t="s">
        <v>1037</v>
      </c>
    </row>
    <row r="75" spans="4:37" x14ac:dyDescent="0.3">
      <c r="D75" t="s">
        <v>9</v>
      </c>
      <c r="E75" t="s">
        <v>81</v>
      </c>
      <c r="F75">
        <v>100</v>
      </c>
      <c r="G75">
        <v>2</v>
      </c>
      <c r="H75">
        <v>1</v>
      </c>
      <c r="I75">
        <v>0</v>
      </c>
      <c r="M75" s="14" t="s">
        <v>9</v>
      </c>
      <c r="N75" s="14" t="s">
        <v>35</v>
      </c>
      <c r="AF75" s="14" t="s">
        <v>912</v>
      </c>
      <c r="AG75" s="14"/>
      <c r="AH75" t="s">
        <v>335</v>
      </c>
      <c r="AI75" t="s">
        <v>284</v>
      </c>
      <c r="AJ75">
        <v>43085</v>
      </c>
      <c r="AK75" t="s">
        <v>1038</v>
      </c>
    </row>
    <row r="76" spans="4:37" x14ac:dyDescent="0.3">
      <c r="D76" t="s">
        <v>9</v>
      </c>
      <c r="E76" t="s">
        <v>82</v>
      </c>
      <c r="F76">
        <v>100</v>
      </c>
      <c r="G76">
        <v>2</v>
      </c>
      <c r="H76">
        <v>0</v>
      </c>
      <c r="I76">
        <v>0</v>
      </c>
      <c r="M76" s="14" t="s">
        <v>9</v>
      </c>
      <c r="N76" s="14" t="s">
        <v>30</v>
      </c>
      <c r="AF76" s="14" t="s">
        <v>459</v>
      </c>
      <c r="AG76" s="14"/>
      <c r="AH76" t="s">
        <v>336</v>
      </c>
      <c r="AI76" t="s">
        <v>258</v>
      </c>
      <c r="AJ76">
        <v>43042</v>
      </c>
      <c r="AK76" t="s">
        <v>1038</v>
      </c>
    </row>
    <row r="77" spans="4:37" x14ac:dyDescent="0.3">
      <c r="D77" t="s">
        <v>9</v>
      </c>
      <c r="E77" t="s">
        <v>83</v>
      </c>
      <c r="F77">
        <v>250</v>
      </c>
      <c r="G77">
        <v>5</v>
      </c>
      <c r="H77">
        <v>1</v>
      </c>
      <c r="I77">
        <v>0</v>
      </c>
      <c r="M77" s="14" t="s">
        <v>9</v>
      </c>
      <c r="N77" s="14" t="s">
        <v>29</v>
      </c>
      <c r="AF77" s="14" t="s">
        <v>387</v>
      </c>
      <c r="AG77" s="14"/>
      <c r="AH77" t="s">
        <v>337</v>
      </c>
      <c r="AI77" t="s">
        <v>284</v>
      </c>
      <c r="AJ77">
        <v>43008</v>
      </c>
      <c r="AK77" t="s">
        <v>1038</v>
      </c>
    </row>
    <row r="78" spans="4:37" x14ac:dyDescent="0.3">
      <c r="D78" t="s">
        <v>9</v>
      </c>
      <c r="E78" t="s">
        <v>84</v>
      </c>
      <c r="F78">
        <v>200</v>
      </c>
      <c r="G78">
        <v>4</v>
      </c>
      <c r="H78">
        <v>1</v>
      </c>
      <c r="I78">
        <v>0</v>
      </c>
      <c r="M78" s="14" t="s">
        <v>9</v>
      </c>
      <c r="N78" s="14" t="s">
        <v>32</v>
      </c>
      <c r="AF78" s="14" t="s">
        <v>350</v>
      </c>
      <c r="AG78" s="14"/>
      <c r="AH78" t="s">
        <v>338</v>
      </c>
      <c r="AI78" t="s">
        <v>284</v>
      </c>
      <c r="AJ78">
        <v>43547</v>
      </c>
      <c r="AK78" t="s">
        <v>1038</v>
      </c>
    </row>
    <row r="79" spans="4:37" x14ac:dyDescent="0.3">
      <c r="D79" t="s">
        <v>9</v>
      </c>
      <c r="E79" t="s">
        <v>85</v>
      </c>
      <c r="F79">
        <v>50</v>
      </c>
      <c r="G79">
        <v>1</v>
      </c>
      <c r="H79">
        <v>0</v>
      </c>
      <c r="I79">
        <v>0</v>
      </c>
      <c r="M79" s="14" t="s">
        <v>9</v>
      </c>
      <c r="N79" s="14" t="s">
        <v>31</v>
      </c>
      <c r="AF79" s="14" t="s">
        <v>963</v>
      </c>
      <c r="AG79" s="14"/>
      <c r="AH79" t="s">
        <v>339</v>
      </c>
      <c r="AI79" t="s">
        <v>284</v>
      </c>
      <c r="AJ79">
        <v>43644</v>
      </c>
      <c r="AK79" t="s">
        <v>1038</v>
      </c>
    </row>
    <row r="80" spans="4:37" x14ac:dyDescent="0.3">
      <c r="D80" t="s">
        <v>9</v>
      </c>
      <c r="E80" t="s">
        <v>86</v>
      </c>
      <c r="F80">
        <v>42</v>
      </c>
      <c r="G80">
        <v>1</v>
      </c>
      <c r="H80">
        <v>0</v>
      </c>
      <c r="I80">
        <v>0</v>
      </c>
      <c r="M80" s="14" t="s">
        <v>9</v>
      </c>
      <c r="N80" s="14" t="s">
        <v>42</v>
      </c>
      <c r="AF80" s="14" t="s">
        <v>369</v>
      </c>
      <c r="AG80" s="14"/>
      <c r="AH80" t="s">
        <v>340</v>
      </c>
      <c r="AI80" t="s">
        <v>243</v>
      </c>
      <c r="AJ80">
        <v>43004</v>
      </c>
      <c r="AK80" t="s">
        <v>1038</v>
      </c>
    </row>
    <row r="81" spans="4:37" x14ac:dyDescent="0.3">
      <c r="D81" t="s">
        <v>9</v>
      </c>
      <c r="E81" t="s">
        <v>87</v>
      </c>
      <c r="F81">
        <v>300</v>
      </c>
      <c r="G81">
        <v>6</v>
      </c>
      <c r="H81">
        <v>1</v>
      </c>
      <c r="I81">
        <v>0</v>
      </c>
      <c r="M81" s="14" t="s">
        <v>9</v>
      </c>
      <c r="N81" s="14" t="s">
        <v>41</v>
      </c>
      <c r="AF81" s="14" t="s">
        <v>941</v>
      </c>
      <c r="AG81" s="14"/>
      <c r="AH81" t="s">
        <v>341</v>
      </c>
      <c r="AI81" t="s">
        <v>243</v>
      </c>
      <c r="AJ81">
        <v>42998</v>
      </c>
      <c r="AK81" t="s">
        <v>1038</v>
      </c>
    </row>
    <row r="82" spans="4:37" x14ac:dyDescent="0.3">
      <c r="D82" t="s">
        <v>9</v>
      </c>
      <c r="E82" t="s">
        <v>88</v>
      </c>
      <c r="F82">
        <v>300</v>
      </c>
      <c r="G82">
        <v>6</v>
      </c>
      <c r="H82">
        <v>1</v>
      </c>
      <c r="I82">
        <v>0</v>
      </c>
      <c r="M82" s="14" t="s">
        <v>9</v>
      </c>
      <c r="N82" s="14" t="s">
        <v>44</v>
      </c>
      <c r="AF82" s="14" t="s">
        <v>456</v>
      </c>
      <c r="AG82" s="14"/>
      <c r="AH82" t="s">
        <v>342</v>
      </c>
      <c r="AI82" t="s">
        <v>343</v>
      </c>
      <c r="AJ82">
        <v>42976</v>
      </c>
      <c r="AK82" t="s">
        <v>1037</v>
      </c>
    </row>
    <row r="83" spans="4:37" x14ac:dyDescent="0.3">
      <c r="D83" t="s">
        <v>9</v>
      </c>
      <c r="E83" t="s">
        <v>89</v>
      </c>
      <c r="F83">
        <v>250</v>
      </c>
      <c r="G83">
        <v>5</v>
      </c>
      <c r="H83">
        <v>1</v>
      </c>
      <c r="I83">
        <v>0</v>
      </c>
      <c r="M83" s="14" t="s">
        <v>9</v>
      </c>
      <c r="N83" s="14" t="s">
        <v>43</v>
      </c>
      <c r="AF83" s="14" t="s">
        <v>356</v>
      </c>
      <c r="AG83" s="14"/>
      <c r="AH83" t="s">
        <v>344</v>
      </c>
      <c r="AI83" t="s">
        <v>345</v>
      </c>
      <c r="AJ83">
        <v>42971</v>
      </c>
      <c r="AK83" t="s">
        <v>1037</v>
      </c>
    </row>
    <row r="84" spans="4:37" x14ac:dyDescent="0.3">
      <c r="D84" t="s">
        <v>9</v>
      </c>
      <c r="E84" t="s">
        <v>90</v>
      </c>
      <c r="F84">
        <v>250</v>
      </c>
      <c r="G84">
        <v>5</v>
      </c>
      <c r="H84">
        <v>1</v>
      </c>
      <c r="I84">
        <v>0</v>
      </c>
      <c r="M84" s="14" t="s">
        <v>9</v>
      </c>
      <c r="N84" s="14" t="s">
        <v>38</v>
      </c>
      <c r="AF84" s="14" t="s">
        <v>751</v>
      </c>
      <c r="AG84" s="14"/>
      <c r="AH84" t="s">
        <v>346</v>
      </c>
      <c r="AI84" t="s">
        <v>243</v>
      </c>
      <c r="AJ84">
        <v>42909</v>
      </c>
      <c r="AK84" t="s">
        <v>1038</v>
      </c>
    </row>
    <row r="85" spans="4:37" x14ac:dyDescent="0.3">
      <c r="D85" t="s">
        <v>9</v>
      </c>
      <c r="E85" t="s">
        <v>91</v>
      </c>
      <c r="F85">
        <v>200</v>
      </c>
      <c r="G85">
        <v>4</v>
      </c>
      <c r="H85">
        <v>1</v>
      </c>
      <c r="I85">
        <v>0</v>
      </c>
      <c r="M85" s="14" t="s">
        <v>9</v>
      </c>
      <c r="N85" s="14" t="s">
        <v>37</v>
      </c>
      <c r="AF85" s="14" t="s">
        <v>645</v>
      </c>
      <c r="AG85" s="14"/>
      <c r="AH85" t="s">
        <v>347</v>
      </c>
      <c r="AI85" t="s">
        <v>243</v>
      </c>
      <c r="AJ85">
        <v>42916</v>
      </c>
      <c r="AK85" t="s">
        <v>1038</v>
      </c>
    </row>
    <row r="86" spans="4:37" x14ac:dyDescent="0.3">
      <c r="D86" t="s">
        <v>9</v>
      </c>
      <c r="E86" t="s">
        <v>92</v>
      </c>
      <c r="F86">
        <v>200</v>
      </c>
      <c r="G86">
        <v>4</v>
      </c>
      <c r="H86">
        <v>1</v>
      </c>
      <c r="I86">
        <v>0</v>
      </c>
      <c r="M86" s="14" t="s">
        <v>9</v>
      </c>
      <c r="N86" s="14" t="s">
        <v>40</v>
      </c>
      <c r="AF86" s="14" t="s">
        <v>621</v>
      </c>
      <c r="AG86" s="14"/>
      <c r="AH86" t="s">
        <v>348</v>
      </c>
      <c r="AI86" t="s">
        <v>349</v>
      </c>
      <c r="AJ86">
        <v>43281</v>
      </c>
      <c r="AK86" t="s">
        <v>1037</v>
      </c>
    </row>
    <row r="87" spans="4:37" x14ac:dyDescent="0.3">
      <c r="D87" t="s">
        <v>9</v>
      </c>
      <c r="E87" t="s">
        <v>93</v>
      </c>
      <c r="F87">
        <v>300</v>
      </c>
      <c r="G87">
        <v>6</v>
      </c>
      <c r="H87">
        <v>1</v>
      </c>
      <c r="I87">
        <v>0</v>
      </c>
      <c r="M87" s="14" t="s">
        <v>9</v>
      </c>
      <c r="N87" s="14" t="s">
        <v>39</v>
      </c>
      <c r="AF87" s="14" t="s">
        <v>625</v>
      </c>
      <c r="AG87" s="14"/>
      <c r="AH87" t="s">
        <v>350</v>
      </c>
      <c r="AI87" t="s">
        <v>343</v>
      </c>
      <c r="AJ87">
        <v>42930</v>
      </c>
      <c r="AK87" t="s">
        <v>1037</v>
      </c>
    </row>
    <row r="88" spans="4:37" x14ac:dyDescent="0.3">
      <c r="D88" t="s">
        <v>9</v>
      </c>
      <c r="E88" t="s">
        <v>94</v>
      </c>
      <c r="F88">
        <v>300</v>
      </c>
      <c r="G88">
        <v>6</v>
      </c>
      <c r="H88">
        <v>1</v>
      </c>
      <c r="I88">
        <v>0</v>
      </c>
      <c r="M88" s="14" t="s">
        <v>9</v>
      </c>
      <c r="N88" s="14" t="s">
        <v>17</v>
      </c>
      <c r="AF88" s="14" t="s">
        <v>646</v>
      </c>
      <c r="AG88" s="14"/>
      <c r="AH88" t="s">
        <v>351</v>
      </c>
      <c r="AI88" t="s">
        <v>352</v>
      </c>
      <c r="AJ88">
        <v>42925</v>
      </c>
      <c r="AK88" t="s">
        <v>1035</v>
      </c>
    </row>
    <row r="89" spans="4:37" x14ac:dyDescent="0.3">
      <c r="D89" t="s">
        <v>9</v>
      </c>
      <c r="E89" t="s">
        <v>95</v>
      </c>
      <c r="F89">
        <v>300</v>
      </c>
      <c r="G89">
        <v>6</v>
      </c>
      <c r="H89">
        <v>1</v>
      </c>
      <c r="I89">
        <v>0</v>
      </c>
      <c r="M89" s="14" t="s">
        <v>9</v>
      </c>
      <c r="N89" s="14" t="s">
        <v>16</v>
      </c>
      <c r="AF89" s="14" t="s">
        <v>722</v>
      </c>
      <c r="AG89" s="14"/>
      <c r="AH89" t="s">
        <v>353</v>
      </c>
      <c r="AI89" t="s">
        <v>352</v>
      </c>
      <c r="AJ89">
        <v>42914</v>
      </c>
      <c r="AK89" t="s">
        <v>1035</v>
      </c>
    </row>
    <row r="90" spans="4:37" x14ac:dyDescent="0.3">
      <c r="D90" t="s">
        <v>9</v>
      </c>
      <c r="E90" t="s">
        <v>96</v>
      </c>
      <c r="F90">
        <v>300</v>
      </c>
      <c r="G90">
        <v>6</v>
      </c>
      <c r="H90">
        <v>1</v>
      </c>
      <c r="I90">
        <v>0</v>
      </c>
      <c r="M90" s="14" t="s">
        <v>9</v>
      </c>
      <c r="N90" s="14" t="s">
        <v>19</v>
      </c>
      <c r="AF90" s="14" t="s">
        <v>441</v>
      </c>
      <c r="AG90" s="14"/>
      <c r="AH90" t="s">
        <v>354</v>
      </c>
      <c r="AI90" t="s">
        <v>243</v>
      </c>
      <c r="AJ90">
        <v>42913</v>
      </c>
      <c r="AK90" t="s">
        <v>1038</v>
      </c>
    </row>
    <row r="91" spans="4:37" x14ac:dyDescent="0.3">
      <c r="D91" t="s">
        <v>9</v>
      </c>
      <c r="E91" t="s">
        <v>97</v>
      </c>
      <c r="F91">
        <v>250</v>
      </c>
      <c r="G91">
        <v>5</v>
      </c>
      <c r="H91">
        <v>1</v>
      </c>
      <c r="I91">
        <v>0</v>
      </c>
      <c r="M91" s="14" t="s">
        <v>9</v>
      </c>
      <c r="N91" s="14" t="s">
        <v>18</v>
      </c>
      <c r="AF91" s="14" t="s">
        <v>754</v>
      </c>
      <c r="AG91" s="14"/>
      <c r="AH91" t="s">
        <v>355</v>
      </c>
      <c r="AI91" t="s">
        <v>258</v>
      </c>
      <c r="AJ91">
        <v>42913</v>
      </c>
      <c r="AK91" t="s">
        <v>1038</v>
      </c>
    </row>
    <row r="92" spans="4:37" x14ac:dyDescent="0.3">
      <c r="D92" t="s">
        <v>9</v>
      </c>
      <c r="E92" t="s">
        <v>98</v>
      </c>
      <c r="F92">
        <v>250</v>
      </c>
      <c r="G92">
        <v>5</v>
      </c>
      <c r="H92">
        <v>1</v>
      </c>
      <c r="I92">
        <v>0</v>
      </c>
      <c r="M92" s="14" t="s">
        <v>9</v>
      </c>
      <c r="N92" s="14" t="s">
        <v>12</v>
      </c>
      <c r="AF92" s="14" t="s">
        <v>737</v>
      </c>
      <c r="AG92" s="14"/>
      <c r="AH92" t="s">
        <v>356</v>
      </c>
      <c r="AI92" t="s">
        <v>343</v>
      </c>
      <c r="AJ92">
        <v>42917</v>
      </c>
      <c r="AK92" t="s">
        <v>1037</v>
      </c>
    </row>
    <row r="93" spans="4:37" x14ac:dyDescent="0.3">
      <c r="D93" t="s">
        <v>9</v>
      </c>
      <c r="E93" t="s">
        <v>99</v>
      </c>
      <c r="F93">
        <v>250</v>
      </c>
      <c r="G93">
        <v>5</v>
      </c>
      <c r="H93">
        <v>1</v>
      </c>
      <c r="I93">
        <v>0</v>
      </c>
      <c r="M93" s="14" t="s">
        <v>9</v>
      </c>
      <c r="N93" s="14" t="s">
        <v>11</v>
      </c>
      <c r="AF93" s="14" t="s">
        <v>637</v>
      </c>
      <c r="AG93" s="14"/>
      <c r="AH93" t="s">
        <v>357</v>
      </c>
      <c r="AI93" t="s">
        <v>330</v>
      </c>
      <c r="AJ93">
        <v>43001</v>
      </c>
      <c r="AK93" t="s">
        <v>1037</v>
      </c>
    </row>
    <row r="94" spans="4:37" x14ac:dyDescent="0.3">
      <c r="D94" t="s">
        <v>9</v>
      </c>
      <c r="E94" t="s">
        <v>100</v>
      </c>
      <c r="F94">
        <v>200</v>
      </c>
      <c r="G94">
        <v>5</v>
      </c>
      <c r="H94">
        <v>1</v>
      </c>
      <c r="I94">
        <v>0</v>
      </c>
      <c r="M94" s="14" t="s">
        <v>9</v>
      </c>
      <c r="N94" s="14" t="s">
        <v>15</v>
      </c>
      <c r="AF94" s="14" t="s">
        <v>517</v>
      </c>
      <c r="AG94" s="14"/>
      <c r="AH94" t="s">
        <v>358</v>
      </c>
      <c r="AI94" t="s">
        <v>243</v>
      </c>
      <c r="AJ94">
        <v>42895</v>
      </c>
      <c r="AK94" t="s">
        <v>1038</v>
      </c>
    </row>
    <row r="95" spans="4:37" x14ac:dyDescent="0.3">
      <c r="D95" t="s">
        <v>9</v>
      </c>
      <c r="E95" t="s">
        <v>101</v>
      </c>
      <c r="F95">
        <v>250</v>
      </c>
      <c r="G95">
        <v>5</v>
      </c>
      <c r="H95">
        <v>1</v>
      </c>
      <c r="I95">
        <v>0</v>
      </c>
      <c r="M95" s="14" t="s">
        <v>9</v>
      </c>
      <c r="N95" s="14" t="s">
        <v>13</v>
      </c>
      <c r="AF95" s="14" t="s">
        <v>603</v>
      </c>
      <c r="AG95" s="14"/>
      <c r="AH95" t="s">
        <v>359</v>
      </c>
      <c r="AI95" t="s">
        <v>243</v>
      </c>
      <c r="AJ95">
        <v>43715</v>
      </c>
      <c r="AK95" t="s">
        <v>1038</v>
      </c>
    </row>
    <row r="96" spans="4:37" x14ac:dyDescent="0.3">
      <c r="D96" t="s">
        <v>9</v>
      </c>
      <c r="E96" t="s">
        <v>102</v>
      </c>
      <c r="F96">
        <v>200</v>
      </c>
      <c r="G96">
        <v>4</v>
      </c>
      <c r="H96">
        <v>1</v>
      </c>
      <c r="I96">
        <v>0</v>
      </c>
      <c r="M96" s="14" t="s">
        <v>9</v>
      </c>
      <c r="N96" s="14" t="s">
        <v>26</v>
      </c>
      <c r="AF96" s="14" t="s">
        <v>670</v>
      </c>
      <c r="AG96" s="14"/>
      <c r="AH96" t="s">
        <v>360</v>
      </c>
      <c r="AI96" t="s">
        <v>258</v>
      </c>
      <c r="AJ96">
        <v>42913</v>
      </c>
      <c r="AK96" t="s">
        <v>1038</v>
      </c>
    </row>
    <row r="97" spans="4:37" x14ac:dyDescent="0.3">
      <c r="D97" t="s">
        <v>9</v>
      </c>
      <c r="E97" t="s">
        <v>103</v>
      </c>
      <c r="F97">
        <v>200</v>
      </c>
      <c r="G97">
        <v>4</v>
      </c>
      <c r="H97">
        <v>1</v>
      </c>
      <c r="I97">
        <v>0</v>
      </c>
      <c r="M97" s="14" t="s">
        <v>9</v>
      </c>
      <c r="N97" s="14" t="s">
        <v>24</v>
      </c>
      <c r="AF97" s="14" t="s">
        <v>593</v>
      </c>
      <c r="AG97" s="14"/>
      <c r="AH97" t="s">
        <v>361</v>
      </c>
      <c r="AI97" t="s">
        <v>258</v>
      </c>
      <c r="AJ97">
        <v>42914</v>
      </c>
      <c r="AK97" t="s">
        <v>1038</v>
      </c>
    </row>
    <row r="98" spans="4:37" x14ac:dyDescent="0.3">
      <c r="D98" t="s">
        <v>9</v>
      </c>
      <c r="E98" t="s">
        <v>104</v>
      </c>
      <c r="F98">
        <v>200</v>
      </c>
      <c r="G98">
        <v>4</v>
      </c>
      <c r="H98">
        <v>1</v>
      </c>
      <c r="I98">
        <v>0</v>
      </c>
      <c r="M98" s="14" t="s">
        <v>9</v>
      </c>
      <c r="N98" s="14" t="s">
        <v>28</v>
      </c>
      <c r="AF98" s="14" t="s">
        <v>575</v>
      </c>
      <c r="AG98" s="14"/>
      <c r="AH98" t="s">
        <v>362</v>
      </c>
      <c r="AI98" t="s">
        <v>363</v>
      </c>
      <c r="AJ98">
        <v>42908</v>
      </c>
      <c r="AK98" t="s">
        <v>1038</v>
      </c>
    </row>
    <row r="99" spans="4:37" x14ac:dyDescent="0.3">
      <c r="D99" t="s">
        <v>9</v>
      </c>
      <c r="E99" t="s">
        <v>105</v>
      </c>
      <c r="F99">
        <v>200</v>
      </c>
      <c r="G99">
        <v>4</v>
      </c>
      <c r="H99">
        <v>1</v>
      </c>
      <c r="I99">
        <v>0</v>
      </c>
      <c r="M99" s="14" t="s">
        <v>9</v>
      </c>
      <c r="N99" s="14" t="s">
        <v>27</v>
      </c>
      <c r="AF99" s="14" t="s">
        <v>510</v>
      </c>
      <c r="AG99" s="14"/>
      <c r="AH99" t="s">
        <v>364</v>
      </c>
      <c r="AI99" t="s">
        <v>365</v>
      </c>
      <c r="AJ99">
        <v>42888</v>
      </c>
      <c r="AK99" t="s">
        <v>1039</v>
      </c>
    </row>
    <row r="100" spans="4:37" x14ac:dyDescent="0.3">
      <c r="D100" t="s">
        <v>9</v>
      </c>
      <c r="E100" t="s">
        <v>106</v>
      </c>
      <c r="F100">
        <v>200</v>
      </c>
      <c r="G100">
        <v>4</v>
      </c>
      <c r="H100">
        <v>1</v>
      </c>
      <c r="I100">
        <v>0</v>
      </c>
      <c r="M100" s="14" t="s">
        <v>9</v>
      </c>
      <c r="N100" s="14" t="s">
        <v>21</v>
      </c>
      <c r="AF100" s="14" t="s">
        <v>698</v>
      </c>
      <c r="AG100" s="14"/>
      <c r="AH100" t="s">
        <v>366</v>
      </c>
      <c r="AI100" t="s">
        <v>284</v>
      </c>
      <c r="AJ100">
        <v>42994</v>
      </c>
      <c r="AK100" t="s">
        <v>1038</v>
      </c>
    </row>
    <row r="101" spans="4:37" x14ac:dyDescent="0.3">
      <c r="D101" t="s">
        <v>9</v>
      </c>
      <c r="E101" t="s">
        <v>107</v>
      </c>
      <c r="F101">
        <v>200</v>
      </c>
      <c r="G101">
        <v>4</v>
      </c>
      <c r="H101">
        <v>1</v>
      </c>
      <c r="I101">
        <v>0</v>
      </c>
      <c r="M101" s="14" t="s">
        <v>9</v>
      </c>
      <c r="N101" s="14" t="s">
        <v>20</v>
      </c>
      <c r="AF101" s="14" t="s">
        <v>699</v>
      </c>
      <c r="AG101" s="14"/>
      <c r="AH101" t="s">
        <v>367</v>
      </c>
      <c r="AI101" t="s">
        <v>352</v>
      </c>
      <c r="AJ101">
        <v>42887</v>
      </c>
      <c r="AK101" t="s">
        <v>1035</v>
      </c>
    </row>
    <row r="102" spans="4:37" x14ac:dyDescent="0.3">
      <c r="D102" t="s">
        <v>9</v>
      </c>
      <c r="E102" t="s">
        <v>108</v>
      </c>
      <c r="F102">
        <v>300</v>
      </c>
      <c r="G102">
        <v>6</v>
      </c>
      <c r="H102">
        <v>1</v>
      </c>
      <c r="I102">
        <v>0</v>
      </c>
      <c r="M102" s="14" t="s">
        <v>9</v>
      </c>
      <c r="N102" s="14" t="s">
        <v>23</v>
      </c>
      <c r="AF102" s="14" t="s">
        <v>583</v>
      </c>
      <c r="AG102" s="14"/>
      <c r="AH102" t="s">
        <v>368</v>
      </c>
      <c r="AI102" t="s">
        <v>343</v>
      </c>
      <c r="AJ102">
        <v>42885</v>
      </c>
      <c r="AK102" t="s">
        <v>1037</v>
      </c>
    </row>
    <row r="103" spans="4:37" x14ac:dyDescent="0.3">
      <c r="D103" t="s">
        <v>9</v>
      </c>
      <c r="E103" t="s">
        <v>109</v>
      </c>
      <c r="F103">
        <v>250</v>
      </c>
      <c r="G103">
        <v>5</v>
      </c>
      <c r="H103">
        <v>1</v>
      </c>
      <c r="I103">
        <v>0</v>
      </c>
      <c r="M103" s="14" t="s">
        <v>9</v>
      </c>
      <c r="N103" s="14" t="s">
        <v>22</v>
      </c>
      <c r="AF103" s="14" t="s">
        <v>478</v>
      </c>
      <c r="AG103" s="14"/>
      <c r="AH103" t="s">
        <v>369</v>
      </c>
      <c r="AI103" t="s">
        <v>343</v>
      </c>
      <c r="AJ103">
        <v>42884</v>
      </c>
      <c r="AK103" t="s">
        <v>1037</v>
      </c>
    </row>
    <row r="104" spans="4:37" x14ac:dyDescent="0.3">
      <c r="D104" t="s">
        <v>9</v>
      </c>
      <c r="E104" t="s">
        <v>110</v>
      </c>
      <c r="F104">
        <v>300</v>
      </c>
      <c r="G104">
        <v>6</v>
      </c>
      <c r="H104">
        <v>0</v>
      </c>
      <c r="I104">
        <v>0</v>
      </c>
      <c r="M104" s="14" t="s">
        <v>9</v>
      </c>
      <c r="N104" s="14" t="s">
        <v>67</v>
      </c>
      <c r="AF104" s="14" t="s">
        <v>806</v>
      </c>
      <c r="AG104" s="14"/>
      <c r="AH104" t="s">
        <v>370</v>
      </c>
      <c r="AI104" t="s">
        <v>352</v>
      </c>
      <c r="AJ104">
        <v>42880</v>
      </c>
      <c r="AK104" t="s">
        <v>1035</v>
      </c>
    </row>
    <row r="105" spans="4:37" x14ac:dyDescent="0.3">
      <c r="D105" t="s">
        <v>9</v>
      </c>
      <c r="E105" t="s">
        <v>111</v>
      </c>
      <c r="F105">
        <v>300</v>
      </c>
      <c r="G105">
        <v>6</v>
      </c>
      <c r="H105">
        <v>1</v>
      </c>
      <c r="I105">
        <v>0</v>
      </c>
      <c r="M105" s="14" t="s">
        <v>9</v>
      </c>
      <c r="N105" s="14" t="s">
        <v>66</v>
      </c>
      <c r="AF105" s="14" t="s">
        <v>658</v>
      </c>
      <c r="AG105" s="14"/>
      <c r="AH105" t="s">
        <v>371</v>
      </c>
      <c r="AI105" t="s">
        <v>343</v>
      </c>
      <c r="AJ105">
        <v>42864</v>
      </c>
      <c r="AK105" t="s">
        <v>1037</v>
      </c>
    </row>
    <row r="106" spans="4:37" x14ac:dyDescent="0.3">
      <c r="D106" t="s">
        <v>9</v>
      </c>
      <c r="E106" t="s">
        <v>112</v>
      </c>
      <c r="F106">
        <v>250</v>
      </c>
      <c r="G106">
        <v>5</v>
      </c>
      <c r="H106">
        <v>1</v>
      </c>
      <c r="I106">
        <v>0</v>
      </c>
      <c r="M106" s="14" t="s">
        <v>9</v>
      </c>
      <c r="N106" s="14" t="s">
        <v>69</v>
      </c>
      <c r="AF106" s="14" t="s">
        <v>652</v>
      </c>
      <c r="AG106" s="14"/>
      <c r="AH106" t="s">
        <v>372</v>
      </c>
      <c r="AI106" t="s">
        <v>243</v>
      </c>
      <c r="AJ106">
        <v>42843</v>
      </c>
      <c r="AK106" t="s">
        <v>1038</v>
      </c>
    </row>
    <row r="107" spans="4:37" x14ac:dyDescent="0.3">
      <c r="D107" t="s">
        <v>113</v>
      </c>
      <c r="E107" t="s">
        <v>114</v>
      </c>
      <c r="F107">
        <v>250</v>
      </c>
      <c r="G107">
        <v>6</v>
      </c>
      <c r="H107">
        <v>0</v>
      </c>
      <c r="I107">
        <v>0</v>
      </c>
      <c r="M107" s="14" t="s">
        <v>9</v>
      </c>
      <c r="N107" s="14" t="s">
        <v>68</v>
      </c>
      <c r="AF107" s="14" t="s">
        <v>972</v>
      </c>
      <c r="AG107" s="14"/>
      <c r="AH107" t="s">
        <v>373</v>
      </c>
      <c r="AI107" t="s">
        <v>343</v>
      </c>
      <c r="AJ107">
        <v>42826</v>
      </c>
      <c r="AK107" t="s">
        <v>1037</v>
      </c>
    </row>
    <row r="108" spans="4:37" x14ac:dyDescent="0.3">
      <c r="D108" t="s">
        <v>113</v>
      </c>
      <c r="E108" t="s">
        <v>115</v>
      </c>
      <c r="F108">
        <v>250</v>
      </c>
      <c r="G108">
        <v>6</v>
      </c>
      <c r="H108">
        <v>0</v>
      </c>
      <c r="I108">
        <v>0</v>
      </c>
      <c r="M108" s="14" t="s">
        <v>9</v>
      </c>
      <c r="N108" s="14" t="s">
        <v>63</v>
      </c>
      <c r="AF108" s="14" t="s">
        <v>743</v>
      </c>
      <c r="AG108" s="14"/>
      <c r="AH108" t="s">
        <v>374</v>
      </c>
      <c r="AI108" t="s">
        <v>343</v>
      </c>
      <c r="AJ108">
        <v>42827</v>
      </c>
      <c r="AK108" t="s">
        <v>1037</v>
      </c>
    </row>
    <row r="109" spans="4:37" x14ac:dyDescent="0.3">
      <c r="D109" t="s">
        <v>113</v>
      </c>
      <c r="E109" t="s">
        <v>116</v>
      </c>
      <c r="F109">
        <v>250</v>
      </c>
      <c r="G109">
        <v>6</v>
      </c>
      <c r="H109">
        <v>0</v>
      </c>
      <c r="I109">
        <v>0</v>
      </c>
      <c r="M109" s="14" t="s">
        <v>9</v>
      </c>
      <c r="N109" s="14" t="s">
        <v>62</v>
      </c>
      <c r="AF109" s="14" t="s">
        <v>966</v>
      </c>
      <c r="AG109" s="14"/>
      <c r="AH109" t="s">
        <v>375</v>
      </c>
      <c r="AI109" t="s">
        <v>376</v>
      </c>
      <c r="AJ109">
        <v>42826</v>
      </c>
      <c r="AK109" t="s">
        <v>1035</v>
      </c>
    </row>
    <row r="110" spans="4:37" x14ac:dyDescent="0.3">
      <c r="D110" t="s">
        <v>113</v>
      </c>
      <c r="E110" t="s">
        <v>117</v>
      </c>
      <c r="F110">
        <v>200</v>
      </c>
      <c r="G110">
        <v>6</v>
      </c>
      <c r="H110">
        <v>0</v>
      </c>
      <c r="I110">
        <v>0</v>
      </c>
      <c r="M110" s="14" t="s">
        <v>9</v>
      </c>
      <c r="N110" s="14" t="s">
        <v>65</v>
      </c>
      <c r="AF110" s="14" t="s">
        <v>895</v>
      </c>
      <c r="AG110" s="14"/>
      <c r="AH110" t="s">
        <v>377</v>
      </c>
      <c r="AI110" t="s">
        <v>278</v>
      </c>
      <c r="AJ110">
        <v>43396</v>
      </c>
      <c r="AK110" t="s">
        <v>1035</v>
      </c>
    </row>
    <row r="111" spans="4:37" x14ac:dyDescent="0.3">
      <c r="D111" t="s">
        <v>113</v>
      </c>
      <c r="E111" t="s">
        <v>118</v>
      </c>
      <c r="F111">
        <v>200</v>
      </c>
      <c r="G111">
        <v>6</v>
      </c>
      <c r="H111">
        <v>0</v>
      </c>
      <c r="I111">
        <v>0</v>
      </c>
      <c r="M111" s="14" t="s">
        <v>9</v>
      </c>
      <c r="N111" s="14" t="s">
        <v>64</v>
      </c>
      <c r="AF111" s="14" t="s">
        <v>876</v>
      </c>
      <c r="AG111" s="14"/>
      <c r="AH111" t="s">
        <v>378</v>
      </c>
      <c r="AI111" t="s">
        <v>343</v>
      </c>
      <c r="AJ111">
        <v>42826</v>
      </c>
      <c r="AK111" t="s">
        <v>1037</v>
      </c>
    </row>
    <row r="112" spans="4:37" x14ac:dyDescent="0.3">
      <c r="D112" t="s">
        <v>113</v>
      </c>
      <c r="E112" t="s">
        <v>119</v>
      </c>
      <c r="F112">
        <v>200</v>
      </c>
      <c r="G112">
        <v>5</v>
      </c>
      <c r="H112">
        <v>0</v>
      </c>
      <c r="I112">
        <v>0</v>
      </c>
      <c r="M112" s="14" t="s">
        <v>9</v>
      </c>
      <c r="N112" s="14" t="s">
        <v>75</v>
      </c>
      <c r="AF112" s="14" t="s">
        <v>878</v>
      </c>
      <c r="AG112" s="14"/>
      <c r="AH112" t="s">
        <v>379</v>
      </c>
      <c r="AI112" t="s">
        <v>243</v>
      </c>
      <c r="AJ112">
        <v>42826</v>
      </c>
      <c r="AK112" t="s">
        <v>1038</v>
      </c>
    </row>
    <row r="113" spans="4:37" x14ac:dyDescent="0.3">
      <c r="D113" t="s">
        <v>113</v>
      </c>
      <c r="E113" t="s">
        <v>120</v>
      </c>
      <c r="F113">
        <v>200</v>
      </c>
      <c r="G113">
        <v>5</v>
      </c>
      <c r="H113">
        <v>1</v>
      </c>
      <c r="I113">
        <v>0</v>
      </c>
      <c r="M113" s="14" t="s">
        <v>9</v>
      </c>
      <c r="N113" s="14" t="s">
        <v>74</v>
      </c>
      <c r="AF113" s="14" t="s">
        <v>772</v>
      </c>
      <c r="AG113" s="14"/>
      <c r="AH113" t="s">
        <v>380</v>
      </c>
      <c r="AI113" t="s">
        <v>258</v>
      </c>
      <c r="AJ113">
        <v>42917</v>
      </c>
      <c r="AK113" t="s">
        <v>1038</v>
      </c>
    </row>
    <row r="114" spans="4:37" x14ac:dyDescent="0.3">
      <c r="D114" t="s">
        <v>113</v>
      </c>
      <c r="E114" t="s">
        <v>121</v>
      </c>
      <c r="F114">
        <v>200</v>
      </c>
      <c r="G114">
        <v>6</v>
      </c>
      <c r="H114">
        <v>0</v>
      </c>
      <c r="I114">
        <v>0</v>
      </c>
      <c r="M114" s="14" t="s">
        <v>9</v>
      </c>
      <c r="N114" s="14" t="s">
        <v>77</v>
      </c>
      <c r="AF114" s="14" t="s">
        <v>808</v>
      </c>
      <c r="AG114" s="14"/>
      <c r="AH114" t="s">
        <v>381</v>
      </c>
      <c r="AI114" t="s">
        <v>284</v>
      </c>
      <c r="AJ114">
        <v>43008</v>
      </c>
      <c r="AK114" t="s">
        <v>1038</v>
      </c>
    </row>
    <row r="115" spans="4:37" x14ac:dyDescent="0.3">
      <c r="D115" t="s">
        <v>113</v>
      </c>
      <c r="E115" t="s">
        <v>122</v>
      </c>
      <c r="F115">
        <v>200</v>
      </c>
      <c r="G115">
        <v>5</v>
      </c>
      <c r="H115">
        <v>0</v>
      </c>
      <c r="I115">
        <v>0</v>
      </c>
      <c r="M115" s="14" t="s">
        <v>9</v>
      </c>
      <c r="N115" s="14" t="s">
        <v>76</v>
      </c>
      <c r="AF115" s="14" t="s">
        <v>546</v>
      </c>
      <c r="AG115" s="14"/>
      <c r="AH115" t="s">
        <v>382</v>
      </c>
      <c r="AI115" t="s">
        <v>343</v>
      </c>
      <c r="AJ115">
        <v>42826</v>
      </c>
      <c r="AK115" t="s">
        <v>1037</v>
      </c>
    </row>
    <row r="116" spans="4:37" x14ac:dyDescent="0.3">
      <c r="D116" t="s">
        <v>113</v>
      </c>
      <c r="E116" t="s">
        <v>123</v>
      </c>
      <c r="F116">
        <v>200</v>
      </c>
      <c r="G116">
        <v>6</v>
      </c>
      <c r="H116">
        <v>0</v>
      </c>
      <c r="I116">
        <v>0</v>
      </c>
      <c r="M116" s="14" t="s">
        <v>9</v>
      </c>
      <c r="N116" s="14" t="s">
        <v>71</v>
      </c>
      <c r="AF116" s="14" t="s">
        <v>986</v>
      </c>
      <c r="AG116" s="14"/>
      <c r="AH116" t="s">
        <v>383</v>
      </c>
      <c r="AI116" t="s">
        <v>343</v>
      </c>
      <c r="AJ116">
        <v>42826</v>
      </c>
      <c r="AK116" t="s">
        <v>1037</v>
      </c>
    </row>
    <row r="117" spans="4:37" x14ac:dyDescent="0.3">
      <c r="D117" t="s">
        <v>113</v>
      </c>
      <c r="E117" t="s">
        <v>124</v>
      </c>
      <c r="F117">
        <v>200</v>
      </c>
      <c r="G117">
        <v>6</v>
      </c>
      <c r="H117">
        <v>0</v>
      </c>
      <c r="I117">
        <v>0</v>
      </c>
      <c r="M117" s="14" t="s">
        <v>9</v>
      </c>
      <c r="N117" s="14" t="s">
        <v>70</v>
      </c>
      <c r="AF117" s="14" t="s">
        <v>879</v>
      </c>
      <c r="AG117" s="14"/>
      <c r="AH117" t="s">
        <v>384</v>
      </c>
      <c r="AI117" t="s">
        <v>258</v>
      </c>
      <c r="AJ117">
        <v>42826</v>
      </c>
      <c r="AK117" t="s">
        <v>1038</v>
      </c>
    </row>
    <row r="118" spans="4:37" x14ac:dyDescent="0.3">
      <c r="D118" t="s">
        <v>113</v>
      </c>
      <c r="E118" t="s">
        <v>125</v>
      </c>
      <c r="F118">
        <v>200</v>
      </c>
      <c r="G118">
        <v>5</v>
      </c>
      <c r="H118">
        <v>1</v>
      </c>
      <c r="I118">
        <v>0</v>
      </c>
      <c r="M118" s="14" t="s">
        <v>9</v>
      </c>
      <c r="N118" s="14" t="s">
        <v>73</v>
      </c>
      <c r="AF118" s="14" t="s">
        <v>810</v>
      </c>
      <c r="AG118" s="14"/>
      <c r="AH118" t="s">
        <v>385</v>
      </c>
      <c r="AI118" t="s">
        <v>386</v>
      </c>
      <c r="AJ118">
        <v>42828</v>
      </c>
      <c r="AK118" t="s">
        <v>1039</v>
      </c>
    </row>
    <row r="119" spans="4:37" x14ac:dyDescent="0.3">
      <c r="D119" t="s">
        <v>113</v>
      </c>
      <c r="E119" t="s">
        <v>126</v>
      </c>
      <c r="F119">
        <v>200</v>
      </c>
      <c r="G119">
        <v>5</v>
      </c>
      <c r="H119">
        <v>1</v>
      </c>
      <c r="I119">
        <v>0</v>
      </c>
      <c r="M119" s="14" t="s">
        <v>9</v>
      </c>
      <c r="N119" s="14" t="s">
        <v>72</v>
      </c>
      <c r="AF119" s="14" t="s">
        <v>541</v>
      </c>
      <c r="AG119" s="14"/>
      <c r="AH119" t="s">
        <v>387</v>
      </c>
      <c r="AI119" t="s">
        <v>343</v>
      </c>
      <c r="AJ119">
        <v>42816</v>
      </c>
      <c r="AK119" t="s">
        <v>1037</v>
      </c>
    </row>
    <row r="120" spans="4:37" x14ac:dyDescent="0.3">
      <c r="D120" t="s">
        <v>113</v>
      </c>
      <c r="E120" t="s">
        <v>127</v>
      </c>
      <c r="F120">
        <v>200</v>
      </c>
      <c r="G120">
        <v>5</v>
      </c>
      <c r="H120">
        <v>1</v>
      </c>
      <c r="I120">
        <v>0</v>
      </c>
      <c r="M120" s="14" t="s">
        <v>9</v>
      </c>
      <c r="N120" s="14" t="s">
        <v>51</v>
      </c>
      <c r="AF120" s="14" t="s">
        <v>364</v>
      </c>
      <c r="AG120" s="14"/>
      <c r="AH120" t="s">
        <v>388</v>
      </c>
      <c r="AI120" t="s">
        <v>386</v>
      </c>
      <c r="AJ120">
        <v>42808</v>
      </c>
      <c r="AK120" t="s">
        <v>1039</v>
      </c>
    </row>
    <row r="121" spans="4:37" x14ac:dyDescent="0.3">
      <c r="D121" t="s">
        <v>113</v>
      </c>
      <c r="E121" t="s">
        <v>128</v>
      </c>
      <c r="F121">
        <v>125</v>
      </c>
      <c r="G121">
        <v>6</v>
      </c>
      <c r="H121">
        <v>0</v>
      </c>
      <c r="I121">
        <v>0</v>
      </c>
      <c r="M121" s="14" t="s">
        <v>9</v>
      </c>
      <c r="N121" s="14" t="s">
        <v>50</v>
      </c>
      <c r="AF121" s="14" t="s">
        <v>443</v>
      </c>
      <c r="AG121" s="14"/>
      <c r="AH121" t="s">
        <v>389</v>
      </c>
      <c r="AI121" t="s">
        <v>258</v>
      </c>
      <c r="AJ121">
        <v>42820</v>
      </c>
      <c r="AK121" t="s">
        <v>1038</v>
      </c>
    </row>
    <row r="122" spans="4:37" x14ac:dyDescent="0.3">
      <c r="D122" t="s">
        <v>113</v>
      </c>
      <c r="E122" t="s">
        <v>129</v>
      </c>
      <c r="F122">
        <v>125</v>
      </c>
      <c r="G122">
        <v>6</v>
      </c>
      <c r="H122">
        <v>0</v>
      </c>
      <c r="I122">
        <v>0</v>
      </c>
      <c r="M122" s="14" t="s">
        <v>9</v>
      </c>
      <c r="N122" s="14" t="s">
        <v>53</v>
      </c>
      <c r="AF122" s="14" t="s">
        <v>562</v>
      </c>
      <c r="AG122" s="14"/>
      <c r="AH122" t="s">
        <v>390</v>
      </c>
      <c r="AI122" t="s">
        <v>343</v>
      </c>
      <c r="AJ122">
        <v>42826</v>
      </c>
      <c r="AK122" t="s">
        <v>1038</v>
      </c>
    </row>
    <row r="123" spans="4:37" x14ac:dyDescent="0.3">
      <c r="D123" t="s">
        <v>113</v>
      </c>
      <c r="E123" t="s">
        <v>130</v>
      </c>
      <c r="F123">
        <v>100</v>
      </c>
      <c r="G123">
        <v>3</v>
      </c>
      <c r="H123">
        <v>0</v>
      </c>
      <c r="I123">
        <v>0</v>
      </c>
      <c r="M123" s="14" t="s">
        <v>9</v>
      </c>
      <c r="N123" s="14" t="s">
        <v>52</v>
      </c>
      <c r="AF123" s="14" t="s">
        <v>444</v>
      </c>
      <c r="AG123" s="14"/>
      <c r="AH123" t="s">
        <v>391</v>
      </c>
      <c r="AI123" t="s">
        <v>343</v>
      </c>
      <c r="AJ123">
        <v>42826</v>
      </c>
      <c r="AK123" t="s">
        <v>1037</v>
      </c>
    </row>
    <row r="124" spans="4:37" x14ac:dyDescent="0.3">
      <c r="D124" t="s">
        <v>113</v>
      </c>
      <c r="E124" t="s">
        <v>131</v>
      </c>
      <c r="F124">
        <v>100</v>
      </c>
      <c r="G124">
        <v>3</v>
      </c>
      <c r="H124">
        <v>0</v>
      </c>
      <c r="I124">
        <v>0</v>
      </c>
      <c r="M124" s="14" t="s">
        <v>9</v>
      </c>
      <c r="N124" s="14" t="s">
        <v>47</v>
      </c>
      <c r="AF124" s="14" t="s">
        <v>872</v>
      </c>
      <c r="AG124" s="14"/>
      <c r="AH124" t="s">
        <v>392</v>
      </c>
      <c r="AI124" t="s">
        <v>343</v>
      </c>
      <c r="AJ124">
        <v>42816</v>
      </c>
      <c r="AK124" t="s">
        <v>1037</v>
      </c>
    </row>
    <row r="125" spans="4:37" x14ac:dyDescent="0.3">
      <c r="D125" t="s">
        <v>113</v>
      </c>
      <c r="E125" t="s">
        <v>132</v>
      </c>
      <c r="F125">
        <v>100</v>
      </c>
      <c r="G125">
        <v>5</v>
      </c>
      <c r="H125">
        <v>0</v>
      </c>
      <c r="I125">
        <v>0</v>
      </c>
      <c r="M125" s="14" t="s">
        <v>9</v>
      </c>
      <c r="N125" s="14" t="s">
        <v>46</v>
      </c>
      <c r="AF125" s="14" t="s">
        <v>587</v>
      </c>
      <c r="AG125" s="14"/>
      <c r="AH125" t="s">
        <v>393</v>
      </c>
      <c r="AI125" t="s">
        <v>394</v>
      </c>
      <c r="AJ125">
        <v>42810.541666666664</v>
      </c>
      <c r="AK125" t="s">
        <v>1035</v>
      </c>
    </row>
    <row r="126" spans="4:37" x14ac:dyDescent="0.3">
      <c r="D126" t="s">
        <v>113</v>
      </c>
      <c r="E126" t="s">
        <v>133</v>
      </c>
      <c r="F126">
        <v>100</v>
      </c>
      <c r="G126">
        <v>2</v>
      </c>
      <c r="H126">
        <v>1</v>
      </c>
      <c r="I126">
        <v>0</v>
      </c>
      <c r="M126" s="14" t="s">
        <v>9</v>
      </c>
      <c r="N126" s="14" t="s">
        <v>49</v>
      </c>
      <c r="AF126" s="14" t="s">
        <v>758</v>
      </c>
      <c r="AG126" s="14"/>
      <c r="AH126" t="s">
        <v>395</v>
      </c>
      <c r="AI126" t="s">
        <v>343</v>
      </c>
      <c r="AJ126">
        <v>42805</v>
      </c>
      <c r="AK126" t="s">
        <v>1037</v>
      </c>
    </row>
    <row r="127" spans="4:37" x14ac:dyDescent="0.3">
      <c r="D127" t="s">
        <v>134</v>
      </c>
      <c r="E127" t="s">
        <v>135</v>
      </c>
      <c r="F127">
        <v>300</v>
      </c>
      <c r="G127">
        <v>4</v>
      </c>
      <c r="H127">
        <v>1</v>
      </c>
      <c r="I127">
        <v>0</v>
      </c>
      <c r="M127" s="14" t="s">
        <v>9</v>
      </c>
      <c r="N127" s="14" t="s">
        <v>48</v>
      </c>
      <c r="AF127" s="14" t="s">
        <v>981</v>
      </c>
      <c r="AG127" s="14"/>
      <c r="AH127" t="s">
        <v>396</v>
      </c>
      <c r="AI127" t="s">
        <v>258</v>
      </c>
      <c r="AJ127">
        <v>42781</v>
      </c>
      <c r="AK127" t="s">
        <v>1038</v>
      </c>
    </row>
    <row r="128" spans="4:37" x14ac:dyDescent="0.3">
      <c r="D128" t="s">
        <v>134</v>
      </c>
      <c r="E128" t="s">
        <v>136</v>
      </c>
      <c r="F128">
        <v>300</v>
      </c>
      <c r="G128">
        <v>4</v>
      </c>
      <c r="H128">
        <v>0</v>
      </c>
      <c r="I128">
        <v>0</v>
      </c>
      <c r="M128" s="14" t="s">
        <v>9</v>
      </c>
      <c r="N128" s="14" t="s">
        <v>59</v>
      </c>
      <c r="AF128" s="14" t="s">
        <v>787</v>
      </c>
      <c r="AG128" s="14"/>
      <c r="AH128" t="s">
        <v>397</v>
      </c>
      <c r="AI128" t="s">
        <v>258</v>
      </c>
      <c r="AJ128">
        <v>42796</v>
      </c>
      <c r="AK128" t="s">
        <v>1038</v>
      </c>
    </row>
    <row r="129" spans="4:37" x14ac:dyDescent="0.3">
      <c r="D129" t="s">
        <v>134</v>
      </c>
      <c r="E129" t="s">
        <v>137</v>
      </c>
      <c r="F129">
        <v>225</v>
      </c>
      <c r="G129">
        <v>3</v>
      </c>
      <c r="H129">
        <v>1</v>
      </c>
      <c r="I129">
        <v>0</v>
      </c>
      <c r="M129" s="14" t="s">
        <v>9</v>
      </c>
      <c r="N129" s="14" t="s">
        <v>58</v>
      </c>
      <c r="AF129" s="14" t="s">
        <v>574</v>
      </c>
      <c r="AG129" s="14"/>
      <c r="AH129" t="s">
        <v>398</v>
      </c>
      <c r="AI129" t="s">
        <v>243</v>
      </c>
      <c r="AJ129">
        <v>42895</v>
      </c>
      <c r="AK129" t="s">
        <v>1038</v>
      </c>
    </row>
    <row r="130" spans="4:37" x14ac:dyDescent="0.3">
      <c r="D130" t="s">
        <v>134</v>
      </c>
      <c r="E130" t="s">
        <v>138</v>
      </c>
      <c r="F130">
        <v>225</v>
      </c>
      <c r="G130">
        <v>3</v>
      </c>
      <c r="H130">
        <v>0</v>
      </c>
      <c r="I130">
        <v>0</v>
      </c>
      <c r="M130" s="14" t="s">
        <v>9</v>
      </c>
      <c r="N130" s="14" t="s">
        <v>61</v>
      </c>
      <c r="AF130" s="14" t="s">
        <v>866</v>
      </c>
      <c r="AG130" s="14"/>
      <c r="AH130" t="s">
        <v>399</v>
      </c>
      <c r="AI130" t="s">
        <v>400</v>
      </c>
      <c r="AJ130">
        <v>42750</v>
      </c>
      <c r="AK130" t="s">
        <v>1035</v>
      </c>
    </row>
    <row r="131" spans="4:37" x14ac:dyDescent="0.3">
      <c r="D131" t="s">
        <v>134</v>
      </c>
      <c r="E131" t="s">
        <v>139</v>
      </c>
      <c r="F131">
        <v>150</v>
      </c>
      <c r="G131">
        <v>2</v>
      </c>
      <c r="H131">
        <v>1</v>
      </c>
      <c r="I131">
        <v>0</v>
      </c>
      <c r="M131" s="14" t="s">
        <v>9</v>
      </c>
      <c r="N131" s="14" t="s">
        <v>60</v>
      </c>
      <c r="AF131" s="14" t="s">
        <v>923</v>
      </c>
      <c r="AG131" s="14"/>
      <c r="AH131" t="s">
        <v>401</v>
      </c>
      <c r="AI131" t="s">
        <v>402</v>
      </c>
      <c r="AJ131">
        <v>42735</v>
      </c>
      <c r="AK131" t="s">
        <v>1041</v>
      </c>
    </row>
    <row r="132" spans="4:37" x14ac:dyDescent="0.3">
      <c r="D132" t="s">
        <v>134</v>
      </c>
      <c r="E132" t="s">
        <v>140</v>
      </c>
      <c r="F132">
        <v>150</v>
      </c>
      <c r="G132">
        <v>2</v>
      </c>
      <c r="H132">
        <v>0</v>
      </c>
      <c r="I132">
        <v>0</v>
      </c>
      <c r="M132" s="14" t="s">
        <v>9</v>
      </c>
      <c r="N132" s="14" t="s">
        <v>55</v>
      </c>
      <c r="AF132" s="14" t="s">
        <v>1022</v>
      </c>
      <c r="AG132" s="14"/>
      <c r="AH132" t="s">
        <v>403</v>
      </c>
      <c r="AI132" t="s">
        <v>258</v>
      </c>
      <c r="AJ132">
        <v>42735</v>
      </c>
      <c r="AK132" t="s">
        <v>1041</v>
      </c>
    </row>
    <row r="133" spans="4:37" x14ac:dyDescent="0.3">
      <c r="D133" t="s">
        <v>113</v>
      </c>
      <c r="E133" t="s">
        <v>177</v>
      </c>
      <c r="F133">
        <v>292</v>
      </c>
      <c r="G133">
        <v>7</v>
      </c>
      <c r="H133">
        <v>0</v>
      </c>
      <c r="I133">
        <v>0</v>
      </c>
      <c r="M133" s="14" t="s">
        <v>9</v>
      </c>
      <c r="N133" s="14" t="s">
        <v>54</v>
      </c>
      <c r="AF133" s="14" t="s">
        <v>926</v>
      </c>
      <c r="AG133" s="14"/>
      <c r="AH133" t="s">
        <v>404</v>
      </c>
      <c r="AI133" t="s">
        <v>405</v>
      </c>
      <c r="AJ133">
        <v>42735</v>
      </c>
      <c r="AK133" t="s">
        <v>1037</v>
      </c>
    </row>
    <row r="134" spans="4:37" x14ac:dyDescent="0.3">
      <c r="D134" t="s">
        <v>113</v>
      </c>
      <c r="E134" t="s">
        <v>160</v>
      </c>
      <c r="F134">
        <v>250</v>
      </c>
      <c r="G134">
        <v>5</v>
      </c>
      <c r="H134">
        <v>1</v>
      </c>
      <c r="I134">
        <v>0</v>
      </c>
      <c r="M134" s="14" t="s">
        <v>9</v>
      </c>
      <c r="N134" s="14" t="s">
        <v>57</v>
      </c>
      <c r="AF134" s="14" t="s">
        <v>823</v>
      </c>
      <c r="AG134" s="14"/>
      <c r="AH134" t="s">
        <v>406</v>
      </c>
      <c r="AI134" t="s">
        <v>407</v>
      </c>
      <c r="AJ134">
        <v>42735</v>
      </c>
      <c r="AK134" t="s">
        <v>1035</v>
      </c>
    </row>
    <row r="135" spans="4:37" x14ac:dyDescent="0.3">
      <c r="D135" t="s">
        <v>113</v>
      </c>
      <c r="E135" t="s">
        <v>161</v>
      </c>
      <c r="F135">
        <v>250</v>
      </c>
      <c r="G135">
        <v>4</v>
      </c>
      <c r="H135">
        <v>2</v>
      </c>
      <c r="I135">
        <v>0</v>
      </c>
      <c r="M135" s="14" t="s">
        <v>9</v>
      </c>
      <c r="N135" s="14" t="s">
        <v>56</v>
      </c>
      <c r="AF135" s="14" t="s">
        <v>686</v>
      </c>
      <c r="AG135" s="14"/>
      <c r="AH135" t="s">
        <v>408</v>
      </c>
      <c r="AI135" t="s">
        <v>409</v>
      </c>
      <c r="AJ135">
        <v>43736</v>
      </c>
      <c r="AK135" t="s">
        <v>1035</v>
      </c>
    </row>
    <row r="136" spans="4:37" x14ac:dyDescent="0.3">
      <c r="AF136" s="14" t="s">
        <v>790</v>
      </c>
      <c r="AG136" s="14"/>
      <c r="AH136" t="s">
        <v>410</v>
      </c>
      <c r="AI136" t="s">
        <v>258</v>
      </c>
      <c r="AJ136">
        <v>42733</v>
      </c>
      <c r="AK136" t="s">
        <v>1041</v>
      </c>
    </row>
    <row r="137" spans="4:37" x14ac:dyDescent="0.3">
      <c r="AF137" s="14" t="s">
        <v>1011</v>
      </c>
      <c r="AG137" s="14"/>
      <c r="AH137" t="s">
        <v>411</v>
      </c>
      <c r="AI137" t="s">
        <v>349</v>
      </c>
      <c r="AJ137">
        <v>42734</v>
      </c>
      <c r="AK137" t="s">
        <v>1037</v>
      </c>
    </row>
    <row r="138" spans="4:37" x14ac:dyDescent="0.3">
      <c r="AF138" s="14" t="s">
        <v>716</v>
      </c>
      <c r="AG138" s="14"/>
      <c r="AH138" t="s">
        <v>412</v>
      </c>
      <c r="AI138" t="s">
        <v>258</v>
      </c>
      <c r="AJ138">
        <v>42734</v>
      </c>
      <c r="AK138" t="s">
        <v>1041</v>
      </c>
    </row>
    <row r="139" spans="4:37" x14ac:dyDescent="0.3">
      <c r="AF139" s="14" t="s">
        <v>435</v>
      </c>
      <c r="AG139" s="14"/>
      <c r="AH139" t="s">
        <v>413</v>
      </c>
      <c r="AI139" t="s">
        <v>240</v>
      </c>
      <c r="AJ139">
        <v>43695</v>
      </c>
      <c r="AK139" t="s">
        <v>1036</v>
      </c>
    </row>
    <row r="140" spans="4:37" x14ac:dyDescent="0.3">
      <c r="AF140" s="14" t="s">
        <v>248</v>
      </c>
      <c r="AG140" s="14"/>
      <c r="AH140" t="s">
        <v>414</v>
      </c>
      <c r="AI140" t="s">
        <v>415</v>
      </c>
      <c r="AJ140">
        <v>42733</v>
      </c>
      <c r="AK140" t="s">
        <v>1042</v>
      </c>
    </row>
    <row r="141" spans="4:37" x14ac:dyDescent="0.3">
      <c r="AF141" s="14" t="s">
        <v>713</v>
      </c>
      <c r="AG141" s="14"/>
      <c r="AH141" t="s">
        <v>416</v>
      </c>
      <c r="AI141" t="s">
        <v>417</v>
      </c>
      <c r="AJ141">
        <v>43456</v>
      </c>
      <c r="AK141" t="s">
        <v>1038</v>
      </c>
    </row>
    <row r="142" spans="4:37" x14ac:dyDescent="0.3">
      <c r="AF142" s="14" t="s">
        <v>793</v>
      </c>
      <c r="AG142" s="14"/>
      <c r="AH142" t="s">
        <v>418</v>
      </c>
      <c r="AI142" t="s">
        <v>243</v>
      </c>
      <c r="AJ142">
        <v>43455</v>
      </c>
      <c r="AK142" t="s">
        <v>1038</v>
      </c>
    </row>
    <row r="143" spans="4:37" x14ac:dyDescent="0.3">
      <c r="AF143" s="14" t="s">
        <v>859</v>
      </c>
      <c r="AG143" s="14"/>
      <c r="AH143" t="s">
        <v>419</v>
      </c>
      <c r="AI143" t="s">
        <v>258</v>
      </c>
      <c r="AJ143">
        <v>42733</v>
      </c>
      <c r="AK143" t="s">
        <v>1041</v>
      </c>
    </row>
    <row r="144" spans="4:37" x14ac:dyDescent="0.3">
      <c r="AF144" s="14" t="s">
        <v>882</v>
      </c>
      <c r="AG144" s="14"/>
      <c r="AH144" t="s">
        <v>420</v>
      </c>
      <c r="AI144" t="s">
        <v>258</v>
      </c>
      <c r="AJ144">
        <v>42735</v>
      </c>
      <c r="AK144" t="s">
        <v>1041</v>
      </c>
    </row>
    <row r="145" spans="32:37" x14ac:dyDescent="0.3">
      <c r="AF145" s="14" t="s">
        <v>865</v>
      </c>
      <c r="AG145" s="14"/>
      <c r="AH145" t="s">
        <v>421</v>
      </c>
      <c r="AI145" t="s">
        <v>258</v>
      </c>
      <c r="AJ145">
        <v>42727</v>
      </c>
      <c r="AK145" t="s">
        <v>1041</v>
      </c>
    </row>
    <row r="146" spans="32:37" x14ac:dyDescent="0.3">
      <c r="AF146" s="14" t="s">
        <v>727</v>
      </c>
      <c r="AG146" s="14"/>
      <c r="AH146" t="s">
        <v>422</v>
      </c>
      <c r="AI146" t="s">
        <v>343</v>
      </c>
      <c r="AJ146">
        <v>42711</v>
      </c>
      <c r="AK146" t="s">
        <v>1037</v>
      </c>
    </row>
    <row r="147" spans="32:37" x14ac:dyDescent="0.3">
      <c r="AF147" s="14" t="s">
        <v>780</v>
      </c>
      <c r="AG147" s="14"/>
      <c r="AH147" t="s">
        <v>423</v>
      </c>
      <c r="AI147" t="s">
        <v>258</v>
      </c>
      <c r="AJ147">
        <v>42720</v>
      </c>
      <c r="AK147" t="s">
        <v>1041</v>
      </c>
    </row>
    <row r="148" spans="32:37" x14ac:dyDescent="0.3">
      <c r="AF148" s="14" t="s">
        <v>440</v>
      </c>
      <c r="AG148" s="14"/>
      <c r="AH148" t="s">
        <v>424</v>
      </c>
      <c r="AI148" t="s">
        <v>243</v>
      </c>
      <c r="AJ148">
        <v>43009</v>
      </c>
      <c r="AK148" t="s">
        <v>1038</v>
      </c>
    </row>
    <row r="149" spans="32:37" x14ac:dyDescent="0.3">
      <c r="AF149" s="14" t="s">
        <v>319</v>
      </c>
      <c r="AG149" s="14"/>
      <c r="AH149" t="s">
        <v>425</v>
      </c>
      <c r="AI149" t="s">
        <v>258</v>
      </c>
      <c r="AJ149">
        <v>42714</v>
      </c>
      <c r="AK149" t="s">
        <v>1041</v>
      </c>
    </row>
    <row r="150" spans="32:37" x14ac:dyDescent="0.3">
      <c r="AF150" s="14" t="s">
        <v>262</v>
      </c>
      <c r="AG150" s="14"/>
      <c r="AH150" t="s">
        <v>426</v>
      </c>
      <c r="AI150" t="s">
        <v>386</v>
      </c>
      <c r="AJ150">
        <v>43048</v>
      </c>
      <c r="AK150" t="s">
        <v>1039</v>
      </c>
    </row>
    <row r="151" spans="32:37" x14ac:dyDescent="0.3">
      <c r="AF151" s="14" t="s">
        <v>911</v>
      </c>
      <c r="AG151" s="14"/>
      <c r="AH151" t="s">
        <v>427</v>
      </c>
      <c r="AI151" t="s">
        <v>258</v>
      </c>
      <c r="AJ151">
        <v>42727</v>
      </c>
      <c r="AK151" t="s">
        <v>1041</v>
      </c>
    </row>
    <row r="152" spans="32:37" x14ac:dyDescent="0.3">
      <c r="AF152" s="14" t="s">
        <v>710</v>
      </c>
      <c r="AG152" s="14"/>
      <c r="AH152" t="s">
        <v>428</v>
      </c>
      <c r="AI152" t="s">
        <v>343</v>
      </c>
      <c r="AJ152">
        <v>42719</v>
      </c>
      <c r="AK152" t="s">
        <v>1037</v>
      </c>
    </row>
    <row r="153" spans="32:37" x14ac:dyDescent="0.3">
      <c r="AF153" s="14" t="s">
        <v>577</v>
      </c>
      <c r="AG153" s="14"/>
      <c r="AH153" t="s">
        <v>429</v>
      </c>
      <c r="AI153" t="s">
        <v>258</v>
      </c>
      <c r="AJ153">
        <v>43197</v>
      </c>
      <c r="AK153" t="s">
        <v>1038</v>
      </c>
    </row>
    <row r="154" spans="32:37" x14ac:dyDescent="0.3">
      <c r="AF154" s="14" t="s">
        <v>528</v>
      </c>
      <c r="AG154" s="14"/>
      <c r="AH154" t="s">
        <v>430</v>
      </c>
      <c r="AI154" t="s">
        <v>343</v>
      </c>
      <c r="AJ154">
        <v>42827</v>
      </c>
      <c r="AK154" t="s">
        <v>1037</v>
      </c>
    </row>
    <row r="155" spans="32:37" x14ac:dyDescent="0.3">
      <c r="AF155" s="14" t="s">
        <v>656</v>
      </c>
      <c r="AG155" s="14"/>
      <c r="AH155" t="s">
        <v>431</v>
      </c>
      <c r="AI155" t="s">
        <v>258</v>
      </c>
      <c r="AJ155">
        <v>42707</v>
      </c>
      <c r="AK155" t="s">
        <v>1041</v>
      </c>
    </row>
    <row r="156" spans="32:37" x14ac:dyDescent="0.3">
      <c r="AF156" s="14" t="s">
        <v>857</v>
      </c>
      <c r="AG156" s="14"/>
      <c r="AH156" t="s">
        <v>432</v>
      </c>
      <c r="AI156" t="s">
        <v>386</v>
      </c>
      <c r="AJ156">
        <v>42704</v>
      </c>
      <c r="AK156" t="s">
        <v>1039</v>
      </c>
    </row>
    <row r="157" spans="32:37" x14ac:dyDescent="0.3">
      <c r="AF157" s="14" t="s">
        <v>320</v>
      </c>
      <c r="AG157" s="14"/>
      <c r="AH157" t="s">
        <v>433</v>
      </c>
      <c r="AI157" t="s">
        <v>258</v>
      </c>
      <c r="AJ157">
        <v>42697</v>
      </c>
      <c r="AK157" t="s">
        <v>1041</v>
      </c>
    </row>
    <row r="158" spans="32:37" x14ac:dyDescent="0.3">
      <c r="AF158" s="14" t="s">
        <v>838</v>
      </c>
      <c r="AG158" s="14"/>
      <c r="AH158" t="s">
        <v>434</v>
      </c>
      <c r="AI158" t="s">
        <v>343</v>
      </c>
      <c r="AJ158">
        <v>42691</v>
      </c>
      <c r="AK158" t="s">
        <v>1037</v>
      </c>
    </row>
    <row r="159" spans="32:37" x14ac:dyDescent="0.3">
      <c r="AF159" s="14" t="s">
        <v>375</v>
      </c>
      <c r="AG159" s="14"/>
      <c r="AH159" t="s">
        <v>435</v>
      </c>
      <c r="AI159" t="s">
        <v>249</v>
      </c>
      <c r="AJ159">
        <v>43141</v>
      </c>
      <c r="AK159" t="s">
        <v>1035</v>
      </c>
    </row>
    <row r="160" spans="32:37" x14ac:dyDescent="0.3">
      <c r="AF160" s="14" t="s">
        <v>1020</v>
      </c>
      <c r="AG160" s="14"/>
      <c r="AH160" t="s">
        <v>436</v>
      </c>
      <c r="AI160" t="s">
        <v>437</v>
      </c>
      <c r="AJ160">
        <v>42725</v>
      </c>
      <c r="AK160" t="s">
        <v>1041</v>
      </c>
    </row>
    <row r="161" spans="32:37" x14ac:dyDescent="0.3">
      <c r="AF161" s="14" t="s">
        <v>711</v>
      </c>
      <c r="AG161" s="14"/>
      <c r="AH161" t="s">
        <v>438</v>
      </c>
      <c r="AI161" t="s">
        <v>439</v>
      </c>
      <c r="AJ161">
        <v>42098</v>
      </c>
      <c r="AK161" t="s">
        <v>1035</v>
      </c>
    </row>
    <row r="162" spans="32:37" x14ac:dyDescent="0.3">
      <c r="AF162" s="14" t="s">
        <v>762</v>
      </c>
      <c r="AG162" s="14"/>
      <c r="AH162" t="s">
        <v>440</v>
      </c>
      <c r="AI162" t="s">
        <v>263</v>
      </c>
      <c r="AJ162">
        <v>43029</v>
      </c>
      <c r="AK162" t="s">
        <v>1035</v>
      </c>
    </row>
    <row r="163" spans="32:37" x14ac:dyDescent="0.3">
      <c r="AF163" s="14" t="s">
        <v>490</v>
      </c>
      <c r="AG163" s="14"/>
      <c r="AH163" t="s">
        <v>441</v>
      </c>
      <c r="AI163" t="s">
        <v>343</v>
      </c>
      <c r="AJ163">
        <v>41622</v>
      </c>
      <c r="AK163" t="s">
        <v>1043</v>
      </c>
    </row>
    <row r="164" spans="32:37" x14ac:dyDescent="0.3">
      <c r="AF164" s="14" t="s">
        <v>965</v>
      </c>
      <c r="AG164" s="14"/>
      <c r="AH164" t="s">
        <v>442</v>
      </c>
      <c r="AI164" t="s">
        <v>258</v>
      </c>
      <c r="AJ164">
        <v>43001</v>
      </c>
      <c r="AK164" t="s">
        <v>1038</v>
      </c>
    </row>
    <row r="165" spans="32:37" x14ac:dyDescent="0.3">
      <c r="AF165" s="14" t="s">
        <v>502</v>
      </c>
      <c r="AG165" s="14"/>
      <c r="AH165" t="s">
        <v>443</v>
      </c>
      <c r="AI165" t="s">
        <v>365</v>
      </c>
      <c r="AJ165">
        <v>42902</v>
      </c>
      <c r="AK165" t="s">
        <v>1039</v>
      </c>
    </row>
    <row r="166" spans="32:37" x14ac:dyDescent="0.3">
      <c r="AF166" s="14" t="s">
        <v>915</v>
      </c>
      <c r="AG166" s="14"/>
      <c r="AH166" t="s">
        <v>444</v>
      </c>
      <c r="AI166" t="s">
        <v>445</v>
      </c>
      <c r="AJ166">
        <v>42089</v>
      </c>
      <c r="AK166" t="s">
        <v>1039</v>
      </c>
    </row>
    <row r="167" spans="32:37" x14ac:dyDescent="0.3">
      <c r="AF167" s="14" t="s">
        <v>934</v>
      </c>
      <c r="AG167" s="14"/>
      <c r="AH167" t="s">
        <v>446</v>
      </c>
      <c r="AI167" t="s">
        <v>258</v>
      </c>
      <c r="AJ167">
        <v>42091</v>
      </c>
      <c r="AK167" t="s">
        <v>1044</v>
      </c>
    </row>
    <row r="168" spans="32:37" x14ac:dyDescent="0.3">
      <c r="AF168" s="14" t="s">
        <v>488</v>
      </c>
      <c r="AG168" s="14"/>
      <c r="AH168" t="s">
        <v>447</v>
      </c>
      <c r="AI168" t="s">
        <v>448</v>
      </c>
      <c r="AJ168">
        <v>42172</v>
      </c>
      <c r="AK168" t="s">
        <v>1035</v>
      </c>
    </row>
    <row r="169" spans="32:37" x14ac:dyDescent="0.3">
      <c r="AF169" s="14" t="s">
        <v>729</v>
      </c>
      <c r="AG169" s="14"/>
      <c r="AH169" t="s">
        <v>449</v>
      </c>
      <c r="AI169" t="s">
        <v>243</v>
      </c>
      <c r="AJ169">
        <v>43214</v>
      </c>
      <c r="AK169" t="s">
        <v>1038</v>
      </c>
    </row>
    <row r="170" spans="32:37" x14ac:dyDescent="0.3">
      <c r="AF170" s="14" t="s">
        <v>690</v>
      </c>
      <c r="AG170" s="14"/>
      <c r="AH170" t="s">
        <v>450</v>
      </c>
      <c r="AI170" t="s">
        <v>258</v>
      </c>
      <c r="AJ170">
        <v>42067</v>
      </c>
      <c r="AK170" t="s">
        <v>1044</v>
      </c>
    </row>
    <row r="171" spans="32:37" x14ac:dyDescent="0.3">
      <c r="AF171" s="14" t="s">
        <v>501</v>
      </c>
      <c r="AG171" s="14"/>
      <c r="AH171" t="s">
        <v>451</v>
      </c>
      <c r="AI171" t="s">
        <v>258</v>
      </c>
      <c r="AJ171">
        <v>43118</v>
      </c>
      <c r="AK171" t="s">
        <v>1038</v>
      </c>
    </row>
    <row r="172" spans="32:37" x14ac:dyDescent="0.3">
      <c r="AF172" s="14" t="s">
        <v>335</v>
      </c>
      <c r="AG172" s="14"/>
      <c r="AH172" t="s">
        <v>452</v>
      </c>
      <c r="AI172" t="s">
        <v>453</v>
      </c>
      <c r="AJ172">
        <v>42068</v>
      </c>
      <c r="AK172" t="s">
        <v>1035</v>
      </c>
    </row>
    <row r="173" spans="32:37" x14ac:dyDescent="0.3">
      <c r="AF173" s="14" t="s">
        <v>339</v>
      </c>
      <c r="AG173" s="14"/>
      <c r="AH173" t="s">
        <v>454</v>
      </c>
      <c r="AI173" t="s">
        <v>272</v>
      </c>
      <c r="AJ173">
        <v>43454</v>
      </c>
      <c r="AK173" t="s">
        <v>1038</v>
      </c>
    </row>
    <row r="174" spans="32:37" x14ac:dyDescent="0.3">
      <c r="AF174" s="14" t="s">
        <v>708</v>
      </c>
      <c r="AG174" s="14"/>
      <c r="AH174" t="s">
        <v>455</v>
      </c>
      <c r="AI174" t="s">
        <v>258</v>
      </c>
      <c r="AJ174">
        <v>42049</v>
      </c>
      <c r="AK174" t="s">
        <v>1044</v>
      </c>
    </row>
    <row r="175" spans="32:37" x14ac:dyDescent="0.3">
      <c r="AF175" s="14" t="s">
        <v>505</v>
      </c>
      <c r="AG175" s="14"/>
      <c r="AH175" t="s">
        <v>456</v>
      </c>
      <c r="AI175" t="s">
        <v>343</v>
      </c>
      <c r="AJ175">
        <v>42613</v>
      </c>
      <c r="AK175" t="s">
        <v>1037</v>
      </c>
    </row>
    <row r="176" spans="32:37" x14ac:dyDescent="0.3">
      <c r="AF176" s="14" t="s">
        <v>366</v>
      </c>
      <c r="AG176" s="14"/>
      <c r="AH176" t="s">
        <v>457</v>
      </c>
      <c r="AI176" t="s">
        <v>258</v>
      </c>
      <c r="AJ176">
        <v>42105</v>
      </c>
      <c r="AK176" t="s">
        <v>1044</v>
      </c>
    </row>
    <row r="177" spans="32:37" x14ac:dyDescent="0.3">
      <c r="AF177" s="14" t="s">
        <v>338</v>
      </c>
      <c r="AG177" s="14"/>
      <c r="AH177" t="s">
        <v>458</v>
      </c>
      <c r="AI177" t="s">
        <v>258</v>
      </c>
      <c r="AJ177">
        <v>42539</v>
      </c>
      <c r="AK177" t="s">
        <v>1041</v>
      </c>
    </row>
    <row r="178" spans="32:37" x14ac:dyDescent="0.3">
      <c r="AF178" s="14" t="s">
        <v>785</v>
      </c>
      <c r="AG178" s="14"/>
      <c r="AH178" t="s">
        <v>459</v>
      </c>
      <c r="AI178" t="s">
        <v>343</v>
      </c>
      <c r="AJ178">
        <v>42715</v>
      </c>
      <c r="AK178" t="s">
        <v>1037</v>
      </c>
    </row>
    <row r="179" spans="32:37" x14ac:dyDescent="0.3">
      <c r="AF179" s="14" t="s">
        <v>955</v>
      </c>
      <c r="AG179" s="14"/>
      <c r="AH179" t="s">
        <v>460</v>
      </c>
      <c r="AI179" t="s">
        <v>312</v>
      </c>
      <c r="AJ179">
        <v>42006</v>
      </c>
      <c r="AK179" t="s">
        <v>1035</v>
      </c>
    </row>
    <row r="180" spans="32:37" x14ac:dyDescent="0.3">
      <c r="AF180" s="14" t="s">
        <v>316</v>
      </c>
      <c r="AG180" s="14"/>
      <c r="AH180" t="s">
        <v>461</v>
      </c>
      <c r="AI180" t="s">
        <v>312</v>
      </c>
      <c r="AJ180">
        <v>42006</v>
      </c>
      <c r="AK180" t="s">
        <v>1035</v>
      </c>
    </row>
    <row r="181" spans="32:37" x14ac:dyDescent="0.3">
      <c r="AF181" s="14" t="s">
        <v>283</v>
      </c>
      <c r="AG181" s="14"/>
      <c r="AH181" t="s">
        <v>462</v>
      </c>
      <c r="AI181" t="s">
        <v>258</v>
      </c>
      <c r="AJ181">
        <v>42550</v>
      </c>
      <c r="AK181" t="s">
        <v>1041</v>
      </c>
    </row>
    <row r="182" spans="32:37" x14ac:dyDescent="0.3">
      <c r="AF182" s="14" t="s">
        <v>828</v>
      </c>
      <c r="AG182" s="14"/>
      <c r="AH182" t="s">
        <v>463</v>
      </c>
      <c r="AI182" t="s">
        <v>258</v>
      </c>
      <c r="AJ182">
        <v>42003</v>
      </c>
      <c r="AK182" t="s">
        <v>1044</v>
      </c>
    </row>
    <row r="183" spans="32:37" x14ac:dyDescent="0.3">
      <c r="AF183" s="14" t="s">
        <v>381</v>
      </c>
      <c r="AG183" s="14"/>
      <c r="AH183" t="s">
        <v>464</v>
      </c>
      <c r="AI183" t="s">
        <v>258</v>
      </c>
      <c r="AJ183">
        <v>42439</v>
      </c>
      <c r="AK183" t="s">
        <v>1041</v>
      </c>
    </row>
    <row r="184" spans="32:37" x14ac:dyDescent="0.3">
      <c r="AF184" s="14" t="s">
        <v>337</v>
      </c>
      <c r="AG184" s="14"/>
      <c r="AH184" t="s">
        <v>465</v>
      </c>
      <c r="AI184" t="s">
        <v>258</v>
      </c>
      <c r="AJ184">
        <v>42501</v>
      </c>
      <c r="AK184" t="s">
        <v>1041</v>
      </c>
    </row>
    <row r="185" spans="32:37" x14ac:dyDescent="0.3">
      <c r="AF185" s="14" t="s">
        <v>324</v>
      </c>
      <c r="AG185" s="14"/>
      <c r="AH185" t="s">
        <v>466</v>
      </c>
      <c r="AI185" t="s">
        <v>258</v>
      </c>
      <c r="AJ185">
        <v>42004</v>
      </c>
      <c r="AK185" t="s">
        <v>1044</v>
      </c>
    </row>
    <row r="186" spans="32:37" x14ac:dyDescent="0.3">
      <c r="AF186" s="14" t="s">
        <v>323</v>
      </c>
      <c r="AG186" s="14"/>
      <c r="AH186" t="s">
        <v>467</v>
      </c>
      <c r="AI186" t="s">
        <v>468</v>
      </c>
      <c r="AJ186">
        <v>42183</v>
      </c>
      <c r="AK186" t="s">
        <v>1039</v>
      </c>
    </row>
    <row r="187" spans="32:37" x14ac:dyDescent="0.3">
      <c r="AF187" s="14" t="s">
        <v>322</v>
      </c>
      <c r="AG187" s="14"/>
      <c r="AH187" t="s">
        <v>469</v>
      </c>
      <c r="AI187" t="s">
        <v>258</v>
      </c>
      <c r="AJ187">
        <v>42003</v>
      </c>
      <c r="AK187" t="s">
        <v>1039</v>
      </c>
    </row>
    <row r="188" spans="32:37" x14ac:dyDescent="0.3">
      <c r="AF188" s="14" t="s">
        <v>557</v>
      </c>
      <c r="AG188" s="14"/>
      <c r="AH188" t="s">
        <v>470</v>
      </c>
      <c r="AI188" t="s">
        <v>258</v>
      </c>
      <c r="AJ188">
        <v>42439</v>
      </c>
      <c r="AK188" t="s">
        <v>1041</v>
      </c>
    </row>
    <row r="189" spans="32:37" x14ac:dyDescent="0.3">
      <c r="AF189" s="14" t="s">
        <v>261</v>
      </c>
      <c r="AG189" s="14"/>
      <c r="AH189" t="s">
        <v>471</v>
      </c>
      <c r="AI189" t="s">
        <v>343</v>
      </c>
      <c r="AJ189">
        <v>42826</v>
      </c>
      <c r="AK189" t="s">
        <v>1037</v>
      </c>
    </row>
    <row r="190" spans="32:37" x14ac:dyDescent="0.3">
      <c r="AF190" s="14" t="s">
        <v>259</v>
      </c>
      <c r="AG190" s="14"/>
      <c r="AH190" t="s">
        <v>472</v>
      </c>
      <c r="AI190" t="s">
        <v>258</v>
      </c>
      <c r="AJ190">
        <v>42003</v>
      </c>
      <c r="AK190" t="s">
        <v>1044</v>
      </c>
    </row>
    <row r="191" spans="32:37" x14ac:dyDescent="0.3">
      <c r="AF191" s="14" t="s">
        <v>877</v>
      </c>
      <c r="AG191" s="14"/>
      <c r="AH191" t="s">
        <v>473</v>
      </c>
      <c r="AI191" t="s">
        <v>258</v>
      </c>
      <c r="AJ191">
        <v>42110</v>
      </c>
      <c r="AK191" t="s">
        <v>1044</v>
      </c>
    </row>
    <row r="192" spans="32:37" x14ac:dyDescent="0.3">
      <c r="AF192" s="14" t="s">
        <v>362</v>
      </c>
      <c r="AG192" s="14"/>
      <c r="AH192" t="s">
        <v>474</v>
      </c>
      <c r="AI192" t="s">
        <v>448</v>
      </c>
      <c r="AJ192">
        <v>41996</v>
      </c>
      <c r="AK192" t="s">
        <v>1035</v>
      </c>
    </row>
    <row r="193" spans="32:37" x14ac:dyDescent="0.3">
      <c r="AF193" s="14" t="s">
        <v>956</v>
      </c>
      <c r="AG193" s="14"/>
      <c r="AH193" t="s">
        <v>475</v>
      </c>
      <c r="AI193" t="s">
        <v>243</v>
      </c>
      <c r="AJ193">
        <v>43008</v>
      </c>
      <c r="AK193" t="s">
        <v>1038</v>
      </c>
    </row>
    <row r="194" spans="32:37" x14ac:dyDescent="0.3">
      <c r="AF194" s="14" t="s">
        <v>608</v>
      </c>
      <c r="AG194" s="14"/>
      <c r="AH194" t="s">
        <v>476</v>
      </c>
      <c r="AI194" t="s">
        <v>343</v>
      </c>
      <c r="AJ194">
        <v>42934</v>
      </c>
      <c r="AK194" t="s">
        <v>1037</v>
      </c>
    </row>
    <row r="195" spans="32:37" x14ac:dyDescent="0.3">
      <c r="AF195" s="14" t="s">
        <v>918</v>
      </c>
      <c r="AG195" s="14"/>
      <c r="AH195" t="s">
        <v>477</v>
      </c>
      <c r="AI195" t="s">
        <v>343</v>
      </c>
      <c r="AJ195">
        <v>42447</v>
      </c>
      <c r="AK195" t="s">
        <v>1037</v>
      </c>
    </row>
    <row r="196" spans="32:37" x14ac:dyDescent="0.3">
      <c r="AF196" s="14" t="s">
        <v>404</v>
      </c>
      <c r="AG196" s="14"/>
      <c r="AH196" t="s">
        <v>478</v>
      </c>
      <c r="AI196" t="s">
        <v>343</v>
      </c>
      <c r="AJ196">
        <v>41985</v>
      </c>
      <c r="AK196" t="s">
        <v>1044</v>
      </c>
    </row>
    <row r="197" spans="32:37" x14ac:dyDescent="0.3">
      <c r="AF197" s="14" t="s">
        <v>1013</v>
      </c>
      <c r="AG197" s="14"/>
      <c r="AH197" t="s">
        <v>479</v>
      </c>
      <c r="AI197" t="s">
        <v>258</v>
      </c>
      <c r="AJ197">
        <v>42818</v>
      </c>
      <c r="AK197" t="s">
        <v>1038</v>
      </c>
    </row>
    <row r="198" spans="32:37" x14ac:dyDescent="0.3">
      <c r="AF198" s="14" t="s">
        <v>995</v>
      </c>
      <c r="AG198" s="14"/>
      <c r="AH198" t="s">
        <v>480</v>
      </c>
      <c r="AI198" t="s">
        <v>258</v>
      </c>
      <c r="AJ198">
        <v>41958</v>
      </c>
      <c r="AK198" t="s">
        <v>1044</v>
      </c>
    </row>
    <row r="199" spans="32:37" x14ac:dyDescent="0.3">
      <c r="AF199" s="14" t="s">
        <v>801</v>
      </c>
      <c r="AG199" s="14"/>
      <c r="AH199" t="s">
        <v>481</v>
      </c>
      <c r="AI199" t="s">
        <v>482</v>
      </c>
      <c r="AJ199">
        <v>41234</v>
      </c>
      <c r="AK199" t="s">
        <v>1035</v>
      </c>
    </row>
    <row r="200" spans="32:37" x14ac:dyDescent="0.3">
      <c r="AF200" s="14" t="s">
        <v>893</v>
      </c>
      <c r="AG200" s="14"/>
      <c r="AH200" t="s">
        <v>483</v>
      </c>
      <c r="AI200" t="s">
        <v>330</v>
      </c>
      <c r="AJ200">
        <v>41948</v>
      </c>
      <c r="AK200" t="s">
        <v>1039</v>
      </c>
    </row>
    <row r="201" spans="32:37" x14ac:dyDescent="0.3">
      <c r="AF201" s="14" t="s">
        <v>610</v>
      </c>
      <c r="AG201" s="14"/>
      <c r="AH201" t="s">
        <v>484</v>
      </c>
      <c r="AI201" t="s">
        <v>352</v>
      </c>
      <c r="AJ201">
        <v>41380</v>
      </c>
      <c r="AK201" t="s">
        <v>1035</v>
      </c>
    </row>
    <row r="202" spans="32:37" x14ac:dyDescent="0.3">
      <c r="AF202" s="14" t="s">
        <v>852</v>
      </c>
      <c r="AG202" s="14"/>
      <c r="AH202" t="s">
        <v>485</v>
      </c>
      <c r="AI202" t="s">
        <v>415</v>
      </c>
      <c r="AJ202">
        <v>42090</v>
      </c>
      <c r="AK202" t="s">
        <v>1035</v>
      </c>
    </row>
    <row r="203" spans="32:37" x14ac:dyDescent="0.3">
      <c r="AF203" s="14" t="s">
        <v>736</v>
      </c>
      <c r="AG203" s="14"/>
      <c r="AH203" t="s">
        <v>486</v>
      </c>
      <c r="AI203" t="s">
        <v>258</v>
      </c>
      <c r="AJ203">
        <v>42185</v>
      </c>
      <c r="AK203" t="s">
        <v>1044</v>
      </c>
    </row>
    <row r="204" spans="32:37" x14ac:dyDescent="0.3">
      <c r="AF204" s="14" t="s">
        <v>979</v>
      </c>
      <c r="AG204" s="14"/>
      <c r="AH204" t="s">
        <v>487</v>
      </c>
      <c r="AI204" t="s">
        <v>258</v>
      </c>
      <c r="AJ204">
        <v>42589</v>
      </c>
      <c r="AK204" t="s">
        <v>1041</v>
      </c>
    </row>
    <row r="205" spans="32:37" x14ac:dyDescent="0.3">
      <c r="AF205" s="14" t="s">
        <v>304</v>
      </c>
      <c r="AG205" s="14"/>
      <c r="AH205" t="s">
        <v>488</v>
      </c>
      <c r="AI205" t="s">
        <v>489</v>
      </c>
      <c r="AJ205">
        <v>42089</v>
      </c>
      <c r="AK205" t="s">
        <v>1035</v>
      </c>
    </row>
    <row r="206" spans="32:37" x14ac:dyDescent="0.3">
      <c r="AF206" s="14" t="s">
        <v>438</v>
      </c>
      <c r="AG206" s="14"/>
      <c r="AH206" t="s">
        <v>490</v>
      </c>
      <c r="AI206" t="s">
        <v>489</v>
      </c>
      <c r="AJ206">
        <v>42089</v>
      </c>
      <c r="AK206" t="s">
        <v>1035</v>
      </c>
    </row>
    <row r="207" spans="32:37" x14ac:dyDescent="0.3">
      <c r="AF207" s="14" t="s">
        <v>235</v>
      </c>
      <c r="AG207" s="14"/>
      <c r="AH207" t="s">
        <v>491</v>
      </c>
      <c r="AI207" t="s">
        <v>492</v>
      </c>
      <c r="AJ207">
        <v>41177</v>
      </c>
      <c r="AK207" t="s">
        <v>1035</v>
      </c>
    </row>
    <row r="208" spans="32:37" x14ac:dyDescent="0.3">
      <c r="AF208" s="14" t="s">
        <v>464</v>
      </c>
      <c r="AG208" s="14"/>
      <c r="AH208" t="s">
        <v>493</v>
      </c>
      <c r="AI208" t="s">
        <v>258</v>
      </c>
      <c r="AJ208">
        <v>42325</v>
      </c>
      <c r="AK208" t="s">
        <v>1041</v>
      </c>
    </row>
    <row r="209" spans="32:37" x14ac:dyDescent="0.3">
      <c r="AF209" s="14" t="s">
        <v>647</v>
      </c>
      <c r="AG209" s="14"/>
      <c r="AH209" t="s">
        <v>494</v>
      </c>
      <c r="AI209" t="s">
        <v>258</v>
      </c>
      <c r="AJ209">
        <v>43210</v>
      </c>
      <c r="AK209" t="s">
        <v>1038</v>
      </c>
    </row>
    <row r="210" spans="32:37" x14ac:dyDescent="0.3">
      <c r="AF210" s="14" t="s">
        <v>433</v>
      </c>
      <c r="AG210" s="14"/>
      <c r="AH210" t="s">
        <v>495</v>
      </c>
      <c r="AI210" t="s">
        <v>352</v>
      </c>
      <c r="AJ210">
        <v>41180</v>
      </c>
      <c r="AK210" t="s">
        <v>1035</v>
      </c>
    </row>
    <row r="211" spans="32:37" x14ac:dyDescent="0.3">
      <c r="AF211" s="14" t="s">
        <v>825</v>
      </c>
      <c r="AG211" s="14"/>
      <c r="AH211" t="s">
        <v>496</v>
      </c>
      <c r="AI211" t="s">
        <v>258</v>
      </c>
      <c r="AJ211">
        <v>42826</v>
      </c>
      <c r="AK211" t="s">
        <v>1038</v>
      </c>
    </row>
    <row r="212" spans="32:37" x14ac:dyDescent="0.3">
      <c r="AF212" s="14" t="s">
        <v>957</v>
      </c>
      <c r="AG212" s="14"/>
      <c r="AH212" t="s">
        <v>497</v>
      </c>
      <c r="AI212" t="s">
        <v>498</v>
      </c>
      <c r="AJ212">
        <v>42679</v>
      </c>
      <c r="AK212" t="s">
        <v>1035</v>
      </c>
    </row>
    <row r="213" spans="32:37" x14ac:dyDescent="0.3">
      <c r="AF213" s="14" t="s">
        <v>969</v>
      </c>
      <c r="AG213" s="14"/>
      <c r="AH213" t="s">
        <v>499</v>
      </c>
      <c r="AI213" t="s">
        <v>500</v>
      </c>
      <c r="AJ213">
        <v>41870</v>
      </c>
      <c r="AK213" t="s">
        <v>1035</v>
      </c>
    </row>
    <row r="214" spans="32:37" x14ac:dyDescent="0.3">
      <c r="AF214" s="14" t="s">
        <v>925</v>
      </c>
      <c r="AG214" s="14"/>
      <c r="AH214" t="s">
        <v>501</v>
      </c>
      <c r="AI214" t="s">
        <v>284</v>
      </c>
      <c r="AJ214">
        <v>43085</v>
      </c>
      <c r="AK214" t="s">
        <v>1038</v>
      </c>
    </row>
    <row r="215" spans="32:37" x14ac:dyDescent="0.3">
      <c r="AF215" s="14" t="s">
        <v>993</v>
      </c>
      <c r="AG215" s="14"/>
      <c r="AH215" t="s">
        <v>502</v>
      </c>
      <c r="AI215" t="s">
        <v>489</v>
      </c>
      <c r="AJ215">
        <v>41547</v>
      </c>
      <c r="AK215" t="s">
        <v>1035</v>
      </c>
    </row>
    <row r="216" spans="32:37" x14ac:dyDescent="0.3">
      <c r="AF216" s="14" t="s">
        <v>769</v>
      </c>
      <c r="AG216" s="14"/>
      <c r="AH216" t="s">
        <v>503</v>
      </c>
      <c r="AI216" t="s">
        <v>504</v>
      </c>
      <c r="AJ216">
        <v>42073</v>
      </c>
      <c r="AK216" t="s">
        <v>1035</v>
      </c>
    </row>
    <row r="217" spans="32:37" x14ac:dyDescent="0.3">
      <c r="AF217" s="14" t="s">
        <v>960</v>
      </c>
      <c r="AG217" s="14"/>
      <c r="AH217" t="s">
        <v>505</v>
      </c>
      <c r="AI217" t="s">
        <v>284</v>
      </c>
      <c r="AJ217">
        <v>43502</v>
      </c>
      <c r="AK217" t="s">
        <v>1038</v>
      </c>
    </row>
    <row r="218" spans="32:37" x14ac:dyDescent="0.3">
      <c r="AF218" s="14" t="s">
        <v>766</v>
      </c>
      <c r="AG218" s="14"/>
      <c r="AH218" t="s">
        <v>506</v>
      </c>
      <c r="AI218" t="s">
        <v>343</v>
      </c>
      <c r="AJ218">
        <v>42551</v>
      </c>
      <c r="AK218" t="s">
        <v>1037</v>
      </c>
    </row>
    <row r="219" spans="32:37" x14ac:dyDescent="0.3">
      <c r="AF219" s="14" t="s">
        <v>524</v>
      </c>
      <c r="AG219" s="14"/>
      <c r="AH219" t="s">
        <v>507</v>
      </c>
      <c r="AI219" t="s">
        <v>508</v>
      </c>
      <c r="AJ219">
        <v>41234</v>
      </c>
      <c r="AK219" t="s">
        <v>1035</v>
      </c>
    </row>
    <row r="220" spans="32:37" x14ac:dyDescent="0.3">
      <c r="AF220" s="14" t="s">
        <v>851</v>
      </c>
      <c r="AG220" s="14"/>
      <c r="AH220" t="s">
        <v>509</v>
      </c>
      <c r="AI220" t="s">
        <v>343</v>
      </c>
      <c r="AJ220">
        <v>43013</v>
      </c>
      <c r="AK220" t="s">
        <v>1037</v>
      </c>
    </row>
    <row r="221" spans="32:37" x14ac:dyDescent="0.3">
      <c r="AF221" s="14" t="s">
        <v>361</v>
      </c>
      <c r="AG221" s="14"/>
      <c r="AH221" t="s">
        <v>510</v>
      </c>
      <c r="AI221" t="s">
        <v>343</v>
      </c>
      <c r="AJ221">
        <v>41624</v>
      </c>
      <c r="AK221" t="s">
        <v>1045</v>
      </c>
    </row>
    <row r="222" spans="32:37" x14ac:dyDescent="0.3">
      <c r="AF222" s="14" t="s">
        <v>560</v>
      </c>
      <c r="AG222" s="14"/>
      <c r="AH222" t="s">
        <v>511</v>
      </c>
      <c r="AI222" t="s">
        <v>512</v>
      </c>
      <c r="AJ222">
        <v>41089</v>
      </c>
      <c r="AK222" t="s">
        <v>1035</v>
      </c>
    </row>
    <row r="223" spans="32:37" x14ac:dyDescent="0.3">
      <c r="AF223" s="14" t="s">
        <v>427</v>
      </c>
      <c r="AG223" s="14"/>
      <c r="AH223" t="s">
        <v>513</v>
      </c>
      <c r="AI223" t="s">
        <v>258</v>
      </c>
      <c r="AJ223">
        <v>41934.25</v>
      </c>
      <c r="AK223" t="s">
        <v>1044</v>
      </c>
    </row>
    <row r="224" spans="32:37" x14ac:dyDescent="0.3">
      <c r="AF224" s="14" t="s">
        <v>982</v>
      </c>
      <c r="AG224" s="14"/>
      <c r="AH224" t="s">
        <v>514</v>
      </c>
      <c r="AI224" t="s">
        <v>258</v>
      </c>
      <c r="AJ224">
        <v>41990</v>
      </c>
      <c r="AK224" t="s">
        <v>1044</v>
      </c>
    </row>
    <row r="225" spans="32:37" x14ac:dyDescent="0.3">
      <c r="AF225" s="14" t="s">
        <v>988</v>
      </c>
      <c r="AG225" s="14"/>
      <c r="AH225" t="s">
        <v>515</v>
      </c>
      <c r="AI225" t="s">
        <v>516</v>
      </c>
      <c r="AJ225">
        <v>41408</v>
      </c>
      <c r="AK225" t="s">
        <v>1043</v>
      </c>
    </row>
    <row r="226" spans="32:37" x14ac:dyDescent="0.3">
      <c r="AF226" s="14" t="s">
        <v>964</v>
      </c>
      <c r="AG226" s="14"/>
      <c r="AH226" t="s">
        <v>517</v>
      </c>
      <c r="AI226" t="s">
        <v>343</v>
      </c>
      <c r="AJ226">
        <v>41818</v>
      </c>
      <c r="AK226" t="s">
        <v>1045</v>
      </c>
    </row>
    <row r="227" spans="32:37" x14ac:dyDescent="0.3">
      <c r="AF227" s="14" t="s">
        <v>983</v>
      </c>
      <c r="AG227" s="14"/>
      <c r="AH227" t="s">
        <v>518</v>
      </c>
      <c r="AI227" t="s">
        <v>519</v>
      </c>
      <c r="AJ227">
        <v>41807</v>
      </c>
      <c r="AK227" t="s">
        <v>1042</v>
      </c>
    </row>
    <row r="228" spans="32:37" x14ac:dyDescent="0.3">
      <c r="AF228" s="14" t="s">
        <v>629</v>
      </c>
      <c r="AG228" s="14"/>
      <c r="AH228" t="s">
        <v>520</v>
      </c>
      <c r="AI228" t="s">
        <v>258</v>
      </c>
      <c r="AJ228">
        <v>41803</v>
      </c>
      <c r="AK228" t="s">
        <v>1039</v>
      </c>
    </row>
    <row r="229" spans="32:37" x14ac:dyDescent="0.3">
      <c r="AF229" s="14" t="s">
        <v>397</v>
      </c>
      <c r="AG229" s="14"/>
      <c r="AH229" t="s">
        <v>521</v>
      </c>
      <c r="AI229" t="s">
        <v>522</v>
      </c>
      <c r="AJ229">
        <v>41813</v>
      </c>
      <c r="AK229" t="s">
        <v>1035</v>
      </c>
    </row>
    <row r="230" spans="32:37" x14ac:dyDescent="0.3">
      <c r="AF230" s="14" t="s">
        <v>845</v>
      </c>
      <c r="AG230" s="14"/>
      <c r="AH230" t="s">
        <v>523</v>
      </c>
      <c r="AI230" t="s">
        <v>415</v>
      </c>
      <c r="AJ230">
        <v>42892</v>
      </c>
      <c r="AK230" t="s">
        <v>1042</v>
      </c>
    </row>
    <row r="231" spans="32:37" x14ac:dyDescent="0.3">
      <c r="AF231" s="14" t="s">
        <v>958</v>
      </c>
      <c r="AG231" s="14"/>
      <c r="AH231" t="s">
        <v>524</v>
      </c>
      <c r="AI231" t="s">
        <v>258</v>
      </c>
      <c r="AJ231">
        <v>42735</v>
      </c>
      <c r="AK231" t="s">
        <v>1041</v>
      </c>
    </row>
    <row r="232" spans="32:37" x14ac:dyDescent="0.3">
      <c r="AF232" s="14" t="s">
        <v>970</v>
      </c>
      <c r="AG232" s="14"/>
      <c r="AH232" t="s">
        <v>525</v>
      </c>
      <c r="AI232" t="s">
        <v>343</v>
      </c>
      <c r="AJ232">
        <v>42653</v>
      </c>
      <c r="AK232" t="s">
        <v>1037</v>
      </c>
    </row>
    <row r="233" spans="32:37" x14ac:dyDescent="0.3">
      <c r="AF233" s="14" t="s">
        <v>748</v>
      </c>
      <c r="AG233" s="14"/>
      <c r="AH233" t="s">
        <v>526</v>
      </c>
      <c r="AI233" t="s">
        <v>243</v>
      </c>
      <c r="AJ233">
        <v>43646</v>
      </c>
      <c r="AK233" t="s">
        <v>1034</v>
      </c>
    </row>
    <row r="234" spans="32:37" x14ac:dyDescent="0.3">
      <c r="AF234" s="14" t="s">
        <v>900</v>
      </c>
      <c r="AG234" s="14"/>
      <c r="AH234" t="s">
        <v>527</v>
      </c>
      <c r="AI234" t="s">
        <v>258</v>
      </c>
      <c r="AJ234">
        <v>42083</v>
      </c>
      <c r="AK234" t="s">
        <v>1044</v>
      </c>
    </row>
    <row r="235" spans="32:37" x14ac:dyDescent="0.3">
      <c r="AF235" s="14" t="s">
        <v>723</v>
      </c>
      <c r="AG235" s="14"/>
      <c r="AH235" t="s">
        <v>528</v>
      </c>
      <c r="AI235" t="s">
        <v>386</v>
      </c>
      <c r="AJ235">
        <v>41801</v>
      </c>
      <c r="AK235" t="s">
        <v>1042</v>
      </c>
    </row>
    <row r="236" spans="32:37" x14ac:dyDescent="0.3">
      <c r="AF236" s="14" t="s">
        <v>1005</v>
      </c>
      <c r="AG236" s="14"/>
      <c r="AH236" t="s">
        <v>529</v>
      </c>
      <c r="AI236" t="s">
        <v>530</v>
      </c>
      <c r="AJ236">
        <v>41796</v>
      </c>
      <c r="AK236" t="s">
        <v>1039</v>
      </c>
    </row>
    <row r="237" spans="32:37" x14ac:dyDescent="0.3">
      <c r="AF237" s="14" t="s">
        <v>355</v>
      </c>
      <c r="AG237" s="14"/>
      <c r="AH237" t="s">
        <v>531</v>
      </c>
      <c r="AI237" t="s">
        <v>516</v>
      </c>
      <c r="AJ237">
        <v>42446</v>
      </c>
      <c r="AK237" t="s">
        <v>1041</v>
      </c>
    </row>
    <row r="238" spans="32:37" x14ac:dyDescent="0.3">
      <c r="AF238" s="14" t="s">
        <v>976</v>
      </c>
      <c r="AG238" s="14"/>
      <c r="AH238" t="s">
        <v>532</v>
      </c>
      <c r="AI238" t="s">
        <v>258</v>
      </c>
      <c r="AJ238">
        <v>42004</v>
      </c>
      <c r="AK238" t="s">
        <v>1044</v>
      </c>
    </row>
    <row r="239" spans="32:37" x14ac:dyDescent="0.3">
      <c r="AF239" s="14" t="s">
        <v>885</v>
      </c>
      <c r="AG239" s="14"/>
      <c r="AH239" t="s">
        <v>533</v>
      </c>
      <c r="AI239" t="s">
        <v>516</v>
      </c>
      <c r="AJ239">
        <v>40808</v>
      </c>
      <c r="AK239" t="s">
        <v>1046</v>
      </c>
    </row>
    <row r="240" spans="32:37" x14ac:dyDescent="0.3">
      <c r="AF240" s="14" t="s">
        <v>685</v>
      </c>
      <c r="AG240" s="14"/>
      <c r="AH240" t="s">
        <v>534</v>
      </c>
      <c r="AI240" t="s">
        <v>535</v>
      </c>
      <c r="AJ240">
        <v>40761</v>
      </c>
      <c r="AK240" t="s">
        <v>1035</v>
      </c>
    </row>
    <row r="241" spans="32:37" x14ac:dyDescent="0.3">
      <c r="AF241" s="14" t="s">
        <v>1006</v>
      </c>
      <c r="AG241" s="14"/>
      <c r="AH241" t="s">
        <v>536</v>
      </c>
      <c r="AI241" t="s">
        <v>258</v>
      </c>
      <c r="AJ241">
        <v>43298</v>
      </c>
      <c r="AK241" t="s">
        <v>1038</v>
      </c>
    </row>
    <row r="242" spans="32:37" x14ac:dyDescent="0.3">
      <c r="AF242" s="14" t="s">
        <v>814</v>
      </c>
      <c r="AG242" s="14"/>
      <c r="AH242" t="s">
        <v>537</v>
      </c>
      <c r="AI242" t="s">
        <v>243</v>
      </c>
      <c r="AJ242">
        <v>42735</v>
      </c>
      <c r="AK242" t="s">
        <v>1038</v>
      </c>
    </row>
    <row r="243" spans="32:37" x14ac:dyDescent="0.3">
      <c r="AF243" s="14" t="s">
        <v>936</v>
      </c>
      <c r="AG243" s="14"/>
      <c r="AH243" t="s">
        <v>538</v>
      </c>
      <c r="AI243" t="s">
        <v>243</v>
      </c>
      <c r="AJ243">
        <v>42606</v>
      </c>
      <c r="AK243" t="s">
        <v>1041</v>
      </c>
    </row>
    <row r="244" spans="32:37" x14ac:dyDescent="0.3">
      <c r="AF244" s="14" t="s">
        <v>892</v>
      </c>
      <c r="AG244" s="14"/>
      <c r="AH244" t="s">
        <v>539</v>
      </c>
      <c r="AI244" t="s">
        <v>258</v>
      </c>
      <c r="AJ244">
        <v>41796</v>
      </c>
      <c r="AK244" t="s">
        <v>1039</v>
      </c>
    </row>
    <row r="245" spans="32:37" x14ac:dyDescent="0.3">
      <c r="AF245" s="14" t="s">
        <v>990</v>
      </c>
      <c r="AG245" s="14"/>
      <c r="AH245" t="s">
        <v>540</v>
      </c>
      <c r="AI245" t="s">
        <v>240</v>
      </c>
      <c r="AJ245">
        <v>43644</v>
      </c>
      <c r="AK245" t="s">
        <v>1036</v>
      </c>
    </row>
    <row r="246" spans="32:37" x14ac:dyDescent="0.3">
      <c r="AF246" s="14" t="s">
        <v>470</v>
      </c>
      <c r="AG246" s="14"/>
      <c r="AH246" t="s">
        <v>541</v>
      </c>
      <c r="AI246" t="s">
        <v>365</v>
      </c>
      <c r="AJ246">
        <v>42887</v>
      </c>
      <c r="AK246" t="s">
        <v>1039</v>
      </c>
    </row>
    <row r="247" spans="32:37" x14ac:dyDescent="0.3">
      <c r="AF247" s="14" t="s">
        <v>836</v>
      </c>
      <c r="AG247" s="14"/>
      <c r="AH247" t="s">
        <v>542</v>
      </c>
      <c r="AI247" t="s">
        <v>543</v>
      </c>
      <c r="AJ247">
        <v>41128</v>
      </c>
      <c r="AK247" t="s">
        <v>1035</v>
      </c>
    </row>
    <row r="248" spans="32:37" x14ac:dyDescent="0.3">
      <c r="AF248" s="14" t="s">
        <v>493</v>
      </c>
      <c r="AG248" s="14"/>
      <c r="AH248" t="s">
        <v>544</v>
      </c>
      <c r="AI248" t="s">
        <v>258</v>
      </c>
      <c r="AJ248">
        <v>43239</v>
      </c>
      <c r="AK248" t="s">
        <v>1038</v>
      </c>
    </row>
    <row r="249" spans="32:37" x14ac:dyDescent="0.3">
      <c r="AF249" s="14" t="s">
        <v>848</v>
      </c>
      <c r="AG249" s="14"/>
      <c r="AH249" t="s">
        <v>545</v>
      </c>
      <c r="AI249" t="s">
        <v>343</v>
      </c>
      <c r="AJ249">
        <v>42678</v>
      </c>
      <c r="AK249" t="s">
        <v>1037</v>
      </c>
    </row>
    <row r="250" spans="32:37" x14ac:dyDescent="0.3">
      <c r="AF250" s="14" t="s">
        <v>849</v>
      </c>
      <c r="AG250" s="14"/>
      <c r="AH250" t="s">
        <v>546</v>
      </c>
      <c r="AI250" t="s">
        <v>343</v>
      </c>
      <c r="AJ250">
        <v>42432</v>
      </c>
      <c r="AK250" t="s">
        <v>1037</v>
      </c>
    </row>
    <row r="251" spans="32:37" x14ac:dyDescent="0.3">
      <c r="AF251" s="14" t="s">
        <v>888</v>
      </c>
      <c r="AG251" s="14"/>
      <c r="AH251" t="s">
        <v>547</v>
      </c>
      <c r="AI251" t="s">
        <v>548</v>
      </c>
      <c r="AJ251">
        <v>43372</v>
      </c>
      <c r="AK251" t="s">
        <v>1042</v>
      </c>
    </row>
    <row r="252" spans="32:37" x14ac:dyDescent="0.3">
      <c r="AF252" s="14" t="s">
        <v>896</v>
      </c>
      <c r="AG252" s="14"/>
      <c r="AH252" t="s">
        <v>549</v>
      </c>
      <c r="AI252" t="s">
        <v>343</v>
      </c>
      <c r="AJ252">
        <v>42826</v>
      </c>
      <c r="AK252" t="s">
        <v>1037</v>
      </c>
    </row>
    <row r="253" spans="32:37" x14ac:dyDescent="0.3">
      <c r="AF253" s="14" t="s">
        <v>596</v>
      </c>
      <c r="AG253" s="14"/>
      <c r="AH253" t="s">
        <v>550</v>
      </c>
      <c r="AI253" t="s">
        <v>551</v>
      </c>
      <c r="AJ253">
        <v>41770</v>
      </c>
      <c r="AK253" t="s">
        <v>1035</v>
      </c>
    </row>
    <row r="254" spans="32:37" x14ac:dyDescent="0.3">
      <c r="AF254" s="14" t="s">
        <v>870</v>
      </c>
      <c r="AG254" s="14"/>
      <c r="AH254" t="s">
        <v>552</v>
      </c>
      <c r="AI254" t="s">
        <v>258</v>
      </c>
      <c r="AJ254">
        <v>41945</v>
      </c>
      <c r="AK254" t="s">
        <v>1044</v>
      </c>
    </row>
    <row r="255" spans="32:37" x14ac:dyDescent="0.3">
      <c r="AF255" s="14" t="s">
        <v>884</v>
      </c>
      <c r="AG255" s="14"/>
      <c r="AH255" t="s">
        <v>553</v>
      </c>
      <c r="AI255" t="s">
        <v>516</v>
      </c>
      <c r="AJ255">
        <v>41442</v>
      </c>
      <c r="AK255" t="s">
        <v>1043</v>
      </c>
    </row>
    <row r="256" spans="32:37" x14ac:dyDescent="0.3">
      <c r="AF256" s="14" t="s">
        <v>651</v>
      </c>
      <c r="AG256" s="14"/>
      <c r="AH256" t="s">
        <v>554</v>
      </c>
      <c r="AI256" t="s">
        <v>516</v>
      </c>
      <c r="AJ256">
        <v>41536</v>
      </c>
      <c r="AK256" t="s">
        <v>1043</v>
      </c>
    </row>
    <row r="257" spans="32:37" x14ac:dyDescent="0.3">
      <c r="AF257" s="14" t="s">
        <v>555</v>
      </c>
      <c r="AG257" s="14"/>
      <c r="AH257" t="s">
        <v>555</v>
      </c>
      <c r="AI257" t="s">
        <v>258</v>
      </c>
      <c r="AJ257">
        <v>42514</v>
      </c>
      <c r="AK257" t="s">
        <v>1041</v>
      </c>
    </row>
    <row r="258" spans="32:37" x14ac:dyDescent="0.3">
      <c r="AF258" s="14" t="s">
        <v>721</v>
      </c>
      <c r="AG258" s="14"/>
      <c r="AH258" t="s">
        <v>556</v>
      </c>
      <c r="AI258" t="s">
        <v>258</v>
      </c>
      <c r="AJ258">
        <v>42094</v>
      </c>
      <c r="AK258" t="s">
        <v>1044</v>
      </c>
    </row>
    <row r="259" spans="32:37" x14ac:dyDescent="0.3">
      <c r="AF259" s="14" t="s">
        <v>465</v>
      </c>
      <c r="AG259" s="14"/>
      <c r="AH259" t="s">
        <v>557</v>
      </c>
      <c r="AI259" t="s">
        <v>284</v>
      </c>
      <c r="AJ259">
        <v>43112</v>
      </c>
      <c r="AK259" t="s">
        <v>1038</v>
      </c>
    </row>
    <row r="260" spans="32:37" x14ac:dyDescent="0.3">
      <c r="AF260" s="14" t="s">
        <v>571</v>
      </c>
      <c r="AG260" s="14"/>
      <c r="AH260" t="s">
        <v>558</v>
      </c>
      <c r="AI260" t="s">
        <v>559</v>
      </c>
      <c r="AJ260">
        <v>41907</v>
      </c>
      <c r="AK260" t="s">
        <v>1039</v>
      </c>
    </row>
    <row r="261" spans="32:37" x14ac:dyDescent="0.3">
      <c r="AF261" s="14" t="s">
        <v>938</v>
      </c>
      <c r="AG261" s="14"/>
      <c r="AH261" t="s">
        <v>560</v>
      </c>
      <c r="AI261" t="s">
        <v>258</v>
      </c>
      <c r="AJ261">
        <v>42825</v>
      </c>
      <c r="AK261" t="s">
        <v>1038</v>
      </c>
    </row>
    <row r="262" spans="32:37" x14ac:dyDescent="0.3">
      <c r="AF262" s="14" t="s">
        <v>863</v>
      </c>
      <c r="AG262" s="14"/>
      <c r="AH262" t="s">
        <v>561</v>
      </c>
      <c r="AI262" t="s">
        <v>243</v>
      </c>
      <c r="AJ262">
        <v>42643</v>
      </c>
      <c r="AK262" t="s">
        <v>1041</v>
      </c>
    </row>
    <row r="263" spans="32:37" x14ac:dyDescent="0.3">
      <c r="AF263" s="14" t="s">
        <v>584</v>
      </c>
      <c r="AG263" s="14"/>
      <c r="AH263" t="s">
        <v>562</v>
      </c>
      <c r="AI263" t="s">
        <v>445</v>
      </c>
      <c r="AJ263">
        <v>40574</v>
      </c>
      <c r="AK263" t="s">
        <v>1046</v>
      </c>
    </row>
    <row r="264" spans="32:37" x14ac:dyDescent="0.3">
      <c r="AF264" s="14" t="s">
        <v>861</v>
      </c>
      <c r="AG264" s="14"/>
      <c r="AH264" t="s">
        <v>563</v>
      </c>
      <c r="AI264" t="s">
        <v>258</v>
      </c>
      <c r="AJ264">
        <v>42057</v>
      </c>
      <c r="AK264" t="s">
        <v>1044</v>
      </c>
    </row>
    <row r="265" spans="32:37" x14ac:dyDescent="0.3">
      <c r="AF265" s="14" t="s">
        <v>939</v>
      </c>
      <c r="AG265" s="14"/>
      <c r="AH265" t="s">
        <v>564</v>
      </c>
      <c r="AI265" t="s">
        <v>565</v>
      </c>
      <c r="AJ265">
        <v>41906</v>
      </c>
      <c r="AK265" t="s">
        <v>1035</v>
      </c>
    </row>
    <row r="266" spans="32:37" x14ac:dyDescent="0.3">
      <c r="AF266" s="14" t="s">
        <v>871</v>
      </c>
      <c r="AG266" s="14"/>
      <c r="AH266" t="s">
        <v>566</v>
      </c>
      <c r="AI266" t="s">
        <v>516</v>
      </c>
      <c r="AJ266">
        <v>41394</v>
      </c>
      <c r="AK266" t="s">
        <v>1043</v>
      </c>
    </row>
    <row r="267" spans="32:37" x14ac:dyDescent="0.3">
      <c r="AF267" s="14" t="s">
        <v>831</v>
      </c>
      <c r="AG267" s="14"/>
      <c r="AH267" t="s">
        <v>567</v>
      </c>
      <c r="AI267" t="s">
        <v>258</v>
      </c>
      <c r="AJ267">
        <v>42098</v>
      </c>
      <c r="AK267" t="s">
        <v>1044</v>
      </c>
    </row>
    <row r="268" spans="32:37" x14ac:dyDescent="0.3">
      <c r="AF268" s="14" t="s">
        <v>887</v>
      </c>
      <c r="AG268" s="14"/>
      <c r="AH268" t="s">
        <v>568</v>
      </c>
      <c r="AI268" t="s">
        <v>569</v>
      </c>
      <c r="AJ268">
        <v>42369</v>
      </c>
      <c r="AK268" t="s">
        <v>1035</v>
      </c>
    </row>
    <row r="269" spans="32:37" x14ac:dyDescent="0.3">
      <c r="AF269" s="14" t="s">
        <v>943</v>
      </c>
      <c r="AG269" s="14"/>
      <c r="AH269" t="s">
        <v>570</v>
      </c>
      <c r="AI269" t="s">
        <v>258</v>
      </c>
      <c r="AJ269">
        <v>41838</v>
      </c>
      <c r="AK269" t="s">
        <v>1039</v>
      </c>
    </row>
    <row r="270" spans="32:37" x14ac:dyDescent="0.3">
      <c r="AF270" s="14" t="s">
        <v>1023</v>
      </c>
      <c r="AG270" s="14"/>
      <c r="AH270" t="s">
        <v>571</v>
      </c>
      <c r="AI270" t="s">
        <v>258</v>
      </c>
      <c r="AJ270">
        <v>42484</v>
      </c>
      <c r="AK270" t="s">
        <v>1041</v>
      </c>
    </row>
    <row r="271" spans="32:37" x14ac:dyDescent="0.3">
      <c r="AF271" s="14" t="s">
        <v>1004</v>
      </c>
      <c r="AG271" s="14"/>
      <c r="AH271" t="s">
        <v>572</v>
      </c>
      <c r="AI271" t="s">
        <v>516</v>
      </c>
      <c r="AJ271">
        <v>41340</v>
      </c>
      <c r="AK271" t="s">
        <v>1043</v>
      </c>
    </row>
    <row r="272" spans="32:37" x14ac:dyDescent="0.3">
      <c r="AF272" s="14" t="s">
        <v>973</v>
      </c>
      <c r="AG272" s="14"/>
      <c r="AH272" t="s">
        <v>573</v>
      </c>
      <c r="AI272" t="s">
        <v>243</v>
      </c>
      <c r="AJ272">
        <v>42913</v>
      </c>
      <c r="AK272" t="s">
        <v>1038</v>
      </c>
    </row>
    <row r="273" spans="32:37" x14ac:dyDescent="0.3">
      <c r="AF273" s="14" t="s">
        <v>458</v>
      </c>
      <c r="AG273" s="14"/>
      <c r="AH273" t="s">
        <v>574</v>
      </c>
      <c r="AI273" t="s">
        <v>240</v>
      </c>
      <c r="AJ273">
        <v>41078</v>
      </c>
      <c r="AK273" t="s">
        <v>1047</v>
      </c>
    </row>
    <row r="274" spans="32:37" x14ac:dyDescent="0.3">
      <c r="AF274" s="14" t="s">
        <v>1018</v>
      </c>
      <c r="AG274" s="14"/>
      <c r="AH274" t="s">
        <v>575</v>
      </c>
      <c r="AI274" t="s">
        <v>343</v>
      </c>
      <c r="AJ274">
        <v>41453</v>
      </c>
      <c r="AK274" t="s">
        <v>1043</v>
      </c>
    </row>
    <row r="275" spans="32:37" x14ac:dyDescent="0.3">
      <c r="AF275" s="14" t="s">
        <v>920</v>
      </c>
      <c r="AG275" s="14"/>
      <c r="AH275" t="s">
        <v>576</v>
      </c>
      <c r="AI275" t="s">
        <v>512</v>
      </c>
      <c r="AJ275">
        <v>42913</v>
      </c>
      <c r="AK275" t="s">
        <v>1035</v>
      </c>
    </row>
    <row r="276" spans="32:37" x14ac:dyDescent="0.3">
      <c r="AF276" s="14" t="s">
        <v>360</v>
      </c>
      <c r="AG276" s="14"/>
      <c r="AH276" t="s">
        <v>577</v>
      </c>
      <c r="AI276" t="s">
        <v>578</v>
      </c>
      <c r="AJ276">
        <v>40335</v>
      </c>
      <c r="AK276" t="s">
        <v>1035</v>
      </c>
    </row>
    <row r="277" spans="32:37" x14ac:dyDescent="0.3">
      <c r="AF277" s="14" t="s">
        <v>1026</v>
      </c>
      <c r="AG277" s="14"/>
      <c r="AH277" t="s">
        <v>579</v>
      </c>
      <c r="AI277" t="s">
        <v>258</v>
      </c>
      <c r="AJ277">
        <v>43329</v>
      </c>
      <c r="AK277" t="s">
        <v>1038</v>
      </c>
    </row>
    <row r="278" spans="32:37" x14ac:dyDescent="0.3">
      <c r="AF278" s="14" t="s">
        <v>420</v>
      </c>
      <c r="AG278" s="14"/>
      <c r="AH278" t="s">
        <v>580</v>
      </c>
      <c r="AI278" t="s">
        <v>516</v>
      </c>
      <c r="AJ278">
        <v>42185</v>
      </c>
      <c r="AK278" t="s">
        <v>1041</v>
      </c>
    </row>
    <row r="279" spans="32:37" x14ac:dyDescent="0.3">
      <c r="AF279" s="14" t="s">
        <v>425</v>
      </c>
      <c r="AG279" s="14"/>
      <c r="AH279" t="s">
        <v>581</v>
      </c>
      <c r="AI279" t="s">
        <v>343</v>
      </c>
      <c r="AJ279">
        <v>42813</v>
      </c>
      <c r="AK279" t="s">
        <v>1037</v>
      </c>
    </row>
    <row r="280" spans="32:37" x14ac:dyDescent="0.3">
      <c r="AF280" s="14" t="s">
        <v>632</v>
      </c>
      <c r="AG280" s="14"/>
      <c r="AH280" t="s">
        <v>582</v>
      </c>
      <c r="AI280" t="s">
        <v>258</v>
      </c>
      <c r="AJ280">
        <v>42706</v>
      </c>
      <c r="AK280" t="s">
        <v>1041</v>
      </c>
    </row>
    <row r="281" spans="32:37" x14ac:dyDescent="0.3">
      <c r="AF281" s="14" t="s">
        <v>389</v>
      </c>
      <c r="AG281" s="14"/>
      <c r="AH281" t="s">
        <v>583</v>
      </c>
      <c r="AI281" t="s">
        <v>343</v>
      </c>
      <c r="AJ281">
        <v>41706</v>
      </c>
      <c r="AK281" t="s">
        <v>1045</v>
      </c>
    </row>
    <row r="282" spans="32:37" x14ac:dyDescent="0.3">
      <c r="AF282" s="14" t="s">
        <v>421</v>
      </c>
      <c r="AG282" s="14"/>
      <c r="AH282" t="s">
        <v>584</v>
      </c>
      <c r="AI282" t="s">
        <v>258</v>
      </c>
      <c r="AJ282">
        <v>42503</v>
      </c>
      <c r="AK282" t="s">
        <v>1041</v>
      </c>
    </row>
    <row r="283" spans="32:37" x14ac:dyDescent="0.3">
      <c r="AF283" s="14" t="s">
        <v>998</v>
      </c>
      <c r="AG283" s="14"/>
      <c r="AH283" t="s">
        <v>585</v>
      </c>
      <c r="AI283" t="s">
        <v>586</v>
      </c>
      <c r="AJ283">
        <v>41824</v>
      </c>
      <c r="AK283" t="s">
        <v>1039</v>
      </c>
    </row>
    <row r="284" spans="32:37" x14ac:dyDescent="0.3">
      <c r="AF284" s="14" t="s">
        <v>582</v>
      </c>
      <c r="AG284" s="14"/>
      <c r="AH284" t="s">
        <v>587</v>
      </c>
      <c r="AI284" t="s">
        <v>588</v>
      </c>
      <c r="AJ284">
        <v>42910</v>
      </c>
      <c r="AK284" t="s">
        <v>1035</v>
      </c>
    </row>
    <row r="285" spans="32:37" x14ac:dyDescent="0.3">
      <c r="AF285" s="14" t="s">
        <v>462</v>
      </c>
      <c r="AG285" s="14"/>
      <c r="AH285" t="s">
        <v>589</v>
      </c>
      <c r="AI285" t="s">
        <v>590</v>
      </c>
      <c r="AJ285">
        <v>41638</v>
      </c>
      <c r="AK285" t="s">
        <v>1035</v>
      </c>
    </row>
    <row r="286" spans="32:37" x14ac:dyDescent="0.3">
      <c r="AF286" s="14" t="s">
        <v>431</v>
      </c>
      <c r="AG286" s="14"/>
      <c r="AH286" t="s">
        <v>591</v>
      </c>
      <c r="AI286" t="s">
        <v>258</v>
      </c>
      <c r="AJ286">
        <v>42354</v>
      </c>
      <c r="AK286" t="s">
        <v>1044</v>
      </c>
    </row>
    <row r="287" spans="32:37" x14ac:dyDescent="0.3">
      <c r="AF287" s="14" t="s">
        <v>496</v>
      </c>
      <c r="AG287" s="14"/>
      <c r="AH287" t="s">
        <v>592</v>
      </c>
      <c r="AI287" t="s">
        <v>516</v>
      </c>
      <c r="AJ287">
        <v>40815</v>
      </c>
      <c r="AK287" t="s">
        <v>1046</v>
      </c>
    </row>
    <row r="288" spans="32:37" x14ac:dyDescent="0.3">
      <c r="AF288" s="14" t="s">
        <v>933</v>
      </c>
      <c r="AG288" s="14"/>
      <c r="AH288" t="s">
        <v>593</v>
      </c>
      <c r="AI288" t="s">
        <v>343</v>
      </c>
      <c r="AJ288">
        <v>41593</v>
      </c>
      <c r="AK288" t="s">
        <v>1043</v>
      </c>
    </row>
    <row r="289" spans="32:37" x14ac:dyDescent="0.3">
      <c r="AF289" s="14" t="s">
        <v>423</v>
      </c>
      <c r="AG289" s="14"/>
      <c r="AH289" t="s">
        <v>594</v>
      </c>
      <c r="AI289" t="s">
        <v>516</v>
      </c>
      <c r="AJ289">
        <v>41362</v>
      </c>
      <c r="AK289" t="s">
        <v>1043</v>
      </c>
    </row>
    <row r="290" spans="32:37" x14ac:dyDescent="0.3">
      <c r="AF290" s="14" t="s">
        <v>640</v>
      </c>
      <c r="AG290" s="14"/>
      <c r="AH290" t="s">
        <v>595</v>
      </c>
      <c r="AI290" t="s">
        <v>258</v>
      </c>
      <c r="AJ290">
        <v>43273</v>
      </c>
      <c r="AK290" t="s">
        <v>1038</v>
      </c>
    </row>
    <row r="291" spans="32:37" x14ac:dyDescent="0.3">
      <c r="AF291" s="14" t="s">
        <v>951</v>
      </c>
      <c r="AG291" s="14"/>
      <c r="AH291" t="s">
        <v>596</v>
      </c>
      <c r="AI291" t="s">
        <v>258</v>
      </c>
      <c r="AJ291">
        <v>42460</v>
      </c>
      <c r="AK291" t="s">
        <v>1041</v>
      </c>
    </row>
    <row r="292" spans="32:37" x14ac:dyDescent="0.3">
      <c r="AF292" s="14" t="s">
        <v>412</v>
      </c>
      <c r="AG292" s="14"/>
      <c r="AH292" t="s">
        <v>597</v>
      </c>
      <c r="AI292" t="s">
        <v>240</v>
      </c>
      <c r="AJ292">
        <v>41564</v>
      </c>
      <c r="AK292" t="s">
        <v>1047</v>
      </c>
    </row>
    <row r="293" spans="32:37" x14ac:dyDescent="0.3">
      <c r="AF293" s="14" t="s">
        <v>419</v>
      </c>
      <c r="AG293" s="14"/>
      <c r="AH293" t="s">
        <v>598</v>
      </c>
      <c r="AI293" t="s">
        <v>599</v>
      </c>
      <c r="AJ293">
        <v>40816</v>
      </c>
      <c r="AK293" t="s">
        <v>1046</v>
      </c>
    </row>
    <row r="294" spans="32:37" x14ac:dyDescent="0.3">
      <c r="AF294" s="14" t="s">
        <v>410</v>
      </c>
      <c r="AG294" s="14"/>
      <c r="AH294" t="s">
        <v>600</v>
      </c>
      <c r="AI294" t="s">
        <v>512</v>
      </c>
      <c r="AJ294">
        <v>41478</v>
      </c>
      <c r="AK294" t="s">
        <v>1035</v>
      </c>
    </row>
    <row r="295" spans="32:37" x14ac:dyDescent="0.3">
      <c r="AF295" s="14" t="s">
        <v>479</v>
      </c>
      <c r="AG295" s="14"/>
      <c r="AH295" t="s">
        <v>601</v>
      </c>
      <c r="AI295" t="s">
        <v>258</v>
      </c>
      <c r="AJ295">
        <v>42080</v>
      </c>
      <c r="AK295" t="s">
        <v>1044</v>
      </c>
    </row>
    <row r="296" spans="32:37" x14ac:dyDescent="0.3">
      <c r="AF296" s="14" t="s">
        <v>494</v>
      </c>
      <c r="AG296" s="14"/>
      <c r="AH296" t="s">
        <v>602</v>
      </c>
      <c r="AI296" t="s">
        <v>407</v>
      </c>
      <c r="AJ296">
        <v>42173</v>
      </c>
      <c r="AK296" t="s">
        <v>1035</v>
      </c>
    </row>
    <row r="297" spans="32:37" x14ac:dyDescent="0.3">
      <c r="AF297" s="14" t="s">
        <v>820</v>
      </c>
      <c r="AG297" s="14"/>
      <c r="AH297" t="s">
        <v>603</v>
      </c>
      <c r="AI297" t="s">
        <v>343</v>
      </c>
      <c r="AJ297">
        <v>41454.390277777777</v>
      </c>
      <c r="AK297" t="s">
        <v>1043</v>
      </c>
    </row>
    <row r="298" spans="32:37" x14ac:dyDescent="0.3">
      <c r="AF298" s="14" t="s">
        <v>282</v>
      </c>
      <c r="AG298" s="14"/>
      <c r="AH298" t="s">
        <v>604</v>
      </c>
      <c r="AI298" t="s">
        <v>605</v>
      </c>
      <c r="AJ298">
        <v>43130</v>
      </c>
      <c r="AK298" t="s">
        <v>1038</v>
      </c>
    </row>
    <row r="299" spans="32:37" x14ac:dyDescent="0.3">
      <c r="AF299" s="14" t="s">
        <v>294</v>
      </c>
      <c r="AG299" s="14"/>
      <c r="AH299" t="s">
        <v>606</v>
      </c>
      <c r="AI299" t="s">
        <v>258</v>
      </c>
      <c r="AJ299">
        <v>42064</v>
      </c>
      <c r="AK299" t="s">
        <v>1044</v>
      </c>
    </row>
    <row r="300" spans="32:37" x14ac:dyDescent="0.3">
      <c r="AF300" s="14" t="s">
        <v>429</v>
      </c>
      <c r="AG300" s="14"/>
      <c r="AH300" t="s">
        <v>607</v>
      </c>
      <c r="AI300" t="s">
        <v>258</v>
      </c>
      <c r="AJ300">
        <v>42090</v>
      </c>
      <c r="AK300" t="s">
        <v>1044</v>
      </c>
    </row>
    <row r="301" spans="32:37" x14ac:dyDescent="0.3">
      <c r="AF301" s="14" t="s">
        <v>286</v>
      </c>
      <c r="AG301" s="14"/>
      <c r="AH301" t="s">
        <v>608</v>
      </c>
      <c r="AI301" t="s">
        <v>363</v>
      </c>
      <c r="AJ301">
        <v>41865</v>
      </c>
      <c r="AK301" t="s">
        <v>1045</v>
      </c>
    </row>
    <row r="302" spans="32:37" x14ac:dyDescent="0.3">
      <c r="AF302" s="14" t="s">
        <v>380</v>
      </c>
      <c r="AG302" s="14"/>
      <c r="AH302" t="s">
        <v>609</v>
      </c>
      <c r="AI302" t="s">
        <v>516</v>
      </c>
      <c r="AJ302">
        <v>42569</v>
      </c>
      <c r="AK302" t="s">
        <v>1041</v>
      </c>
    </row>
    <row r="303" spans="32:37" x14ac:dyDescent="0.3">
      <c r="AF303" s="14" t="s">
        <v>336</v>
      </c>
      <c r="AG303" s="14"/>
      <c r="AH303" t="s">
        <v>610</v>
      </c>
      <c r="AI303" t="s">
        <v>611</v>
      </c>
      <c r="AJ303">
        <v>42592</v>
      </c>
      <c r="AK303" t="s">
        <v>1041</v>
      </c>
    </row>
    <row r="304" spans="32:37" x14ac:dyDescent="0.3">
      <c r="AF304" s="14" t="s">
        <v>310</v>
      </c>
      <c r="AG304" s="14"/>
      <c r="AH304" t="s">
        <v>612</v>
      </c>
      <c r="AI304" t="s">
        <v>512</v>
      </c>
      <c r="AJ304">
        <v>42913</v>
      </c>
      <c r="AK304" t="s">
        <v>1035</v>
      </c>
    </row>
    <row r="305" spans="32:37" x14ac:dyDescent="0.3">
      <c r="AF305" s="14" t="s">
        <v>306</v>
      </c>
      <c r="AG305" s="14"/>
      <c r="AH305" t="s">
        <v>613</v>
      </c>
      <c r="AI305" t="s">
        <v>386</v>
      </c>
      <c r="AJ305">
        <v>42826</v>
      </c>
      <c r="AK305" t="s">
        <v>1039</v>
      </c>
    </row>
    <row r="306" spans="32:37" x14ac:dyDescent="0.3">
      <c r="AF306" s="14" t="s">
        <v>287</v>
      </c>
      <c r="AG306" s="14"/>
      <c r="AH306" t="s">
        <v>614</v>
      </c>
      <c r="AI306" t="s">
        <v>615</v>
      </c>
      <c r="AJ306">
        <v>40968</v>
      </c>
      <c r="AK306" t="s">
        <v>1035</v>
      </c>
    </row>
    <row r="307" spans="32:37" x14ac:dyDescent="0.3">
      <c r="AF307" s="14" t="s">
        <v>875</v>
      </c>
      <c r="AG307" s="14"/>
      <c r="AH307" t="s">
        <v>616</v>
      </c>
      <c r="AI307" t="s">
        <v>343</v>
      </c>
      <c r="AJ307">
        <v>40974</v>
      </c>
      <c r="AK307" t="s">
        <v>1046</v>
      </c>
    </row>
    <row r="308" spans="32:37" x14ac:dyDescent="0.3">
      <c r="AF308" s="14" t="s">
        <v>279</v>
      </c>
      <c r="AG308" s="14"/>
      <c r="AH308" t="s">
        <v>617</v>
      </c>
      <c r="AI308" t="s">
        <v>258</v>
      </c>
      <c r="AJ308">
        <v>42277</v>
      </c>
      <c r="AK308" t="s">
        <v>1044</v>
      </c>
    </row>
    <row r="309" spans="32:37" x14ac:dyDescent="0.3">
      <c r="AF309" s="14" t="s">
        <v>536</v>
      </c>
      <c r="AG309" s="14"/>
      <c r="AH309" t="s">
        <v>618</v>
      </c>
      <c r="AI309" t="s">
        <v>619</v>
      </c>
      <c r="AJ309">
        <v>41966</v>
      </c>
      <c r="AK309" t="s">
        <v>1039</v>
      </c>
    </row>
    <row r="310" spans="32:37" x14ac:dyDescent="0.3">
      <c r="AF310" s="14" t="s">
        <v>817</v>
      </c>
      <c r="AG310" s="14"/>
      <c r="AH310" t="s">
        <v>620</v>
      </c>
      <c r="AI310" t="s">
        <v>258</v>
      </c>
      <c r="AJ310">
        <v>42104</v>
      </c>
      <c r="AK310" t="s">
        <v>1044</v>
      </c>
    </row>
    <row r="311" spans="32:37" x14ac:dyDescent="0.3">
      <c r="AF311" s="14" t="s">
        <v>1009</v>
      </c>
      <c r="AG311" s="14"/>
      <c r="AH311" t="s">
        <v>621</v>
      </c>
      <c r="AI311" t="s">
        <v>343</v>
      </c>
      <c r="AJ311">
        <v>41466</v>
      </c>
      <c r="AK311" t="s">
        <v>1043</v>
      </c>
    </row>
    <row r="312" spans="32:37" x14ac:dyDescent="0.3">
      <c r="AF312" s="14" t="s">
        <v>273</v>
      </c>
      <c r="AG312" s="14"/>
      <c r="AH312" t="s">
        <v>622</v>
      </c>
      <c r="AI312" t="s">
        <v>258</v>
      </c>
      <c r="AJ312">
        <v>42140</v>
      </c>
      <c r="AK312" t="s">
        <v>1044</v>
      </c>
    </row>
    <row r="313" spans="32:37" x14ac:dyDescent="0.3">
      <c r="AF313" s="14" t="s">
        <v>579</v>
      </c>
      <c r="AG313" s="14"/>
      <c r="AH313" t="s">
        <v>623</v>
      </c>
      <c r="AI313" t="s">
        <v>258</v>
      </c>
      <c r="AJ313">
        <v>42182</v>
      </c>
      <c r="AK313" t="s">
        <v>1044</v>
      </c>
    </row>
    <row r="314" spans="32:37" x14ac:dyDescent="0.3">
      <c r="AF314" s="14" t="s">
        <v>285</v>
      </c>
      <c r="AG314" s="14"/>
      <c r="AH314" t="s">
        <v>624</v>
      </c>
      <c r="AI314" t="s">
        <v>516</v>
      </c>
      <c r="AJ314">
        <v>41814</v>
      </c>
      <c r="AK314" t="s">
        <v>1043</v>
      </c>
    </row>
    <row r="315" spans="32:37" x14ac:dyDescent="0.3">
      <c r="AF315" s="14" t="s">
        <v>706</v>
      </c>
      <c r="AG315" s="14"/>
      <c r="AH315" t="s">
        <v>625</v>
      </c>
      <c r="AI315" t="s">
        <v>343</v>
      </c>
      <c r="AJ315">
        <v>41512</v>
      </c>
      <c r="AK315" t="s">
        <v>1045</v>
      </c>
    </row>
    <row r="316" spans="32:37" x14ac:dyDescent="0.3">
      <c r="AF316" s="14" t="s">
        <v>595</v>
      </c>
      <c r="AG316" s="14"/>
      <c r="AH316" t="s">
        <v>626</v>
      </c>
      <c r="AI316" t="s">
        <v>627</v>
      </c>
      <c r="AJ316">
        <v>43557</v>
      </c>
      <c r="AK316" t="s">
        <v>1039</v>
      </c>
    </row>
    <row r="317" spans="32:37" x14ac:dyDescent="0.3">
      <c r="AF317" s="14" t="s">
        <v>944</v>
      </c>
      <c r="AG317" s="14"/>
      <c r="AH317" t="s">
        <v>628</v>
      </c>
      <c r="AI317" t="s">
        <v>516</v>
      </c>
      <c r="AJ317">
        <v>41305</v>
      </c>
      <c r="AK317" t="s">
        <v>1043</v>
      </c>
    </row>
    <row r="318" spans="32:37" x14ac:dyDescent="0.3">
      <c r="AF318" s="14" t="s">
        <v>274</v>
      </c>
      <c r="AG318" s="14"/>
      <c r="AH318" t="s">
        <v>629</v>
      </c>
      <c r="AI318" t="s">
        <v>258</v>
      </c>
      <c r="AJ318">
        <v>42725</v>
      </c>
      <c r="AK318" t="s">
        <v>1041</v>
      </c>
    </row>
    <row r="319" spans="32:37" x14ac:dyDescent="0.3">
      <c r="AF319" s="14" t="s">
        <v>899</v>
      </c>
      <c r="AG319" s="14"/>
      <c r="AH319" t="s">
        <v>630</v>
      </c>
      <c r="AI319" t="s">
        <v>258</v>
      </c>
      <c r="AJ319">
        <v>42216</v>
      </c>
      <c r="AK319" t="s">
        <v>1044</v>
      </c>
    </row>
    <row r="320" spans="32:37" x14ac:dyDescent="0.3">
      <c r="AF320" s="14" t="s">
        <v>749</v>
      </c>
      <c r="AG320" s="14"/>
      <c r="AH320" t="s">
        <v>631</v>
      </c>
      <c r="AI320" t="s">
        <v>516</v>
      </c>
      <c r="AJ320">
        <v>40575.599999999999</v>
      </c>
      <c r="AK320" t="s">
        <v>1046</v>
      </c>
    </row>
    <row r="321" spans="32:37" x14ac:dyDescent="0.3">
      <c r="AF321" s="14" t="s">
        <v>333</v>
      </c>
      <c r="AG321" s="14"/>
      <c r="AH321" t="s">
        <v>632</v>
      </c>
      <c r="AI321" t="s">
        <v>258</v>
      </c>
      <c r="AJ321">
        <v>42603</v>
      </c>
      <c r="AK321" t="s">
        <v>1041</v>
      </c>
    </row>
    <row r="322" spans="32:37" x14ac:dyDescent="0.3">
      <c r="AF322" s="14" t="s">
        <v>293</v>
      </c>
      <c r="AG322" s="14"/>
      <c r="AH322" t="s">
        <v>633</v>
      </c>
      <c r="AI322" t="s">
        <v>243</v>
      </c>
      <c r="AJ322">
        <v>42645</v>
      </c>
      <c r="AK322" t="s">
        <v>1041</v>
      </c>
    </row>
    <row r="323" spans="32:37" x14ac:dyDescent="0.3">
      <c r="AF323" s="14" t="s">
        <v>731</v>
      </c>
      <c r="AG323" s="14"/>
      <c r="AH323" t="s">
        <v>634</v>
      </c>
      <c r="AI323" t="s">
        <v>352</v>
      </c>
      <c r="AJ323">
        <v>40471.682638888888</v>
      </c>
      <c r="AK323" t="s">
        <v>1035</v>
      </c>
    </row>
    <row r="324" spans="32:37" x14ac:dyDescent="0.3">
      <c r="AF324" s="14" t="s">
        <v>544</v>
      </c>
      <c r="AG324" s="14"/>
      <c r="AH324" t="s">
        <v>635</v>
      </c>
      <c r="AI324" t="s">
        <v>636</v>
      </c>
      <c r="AJ324">
        <v>41137</v>
      </c>
      <c r="AK324" t="s">
        <v>1035</v>
      </c>
    </row>
    <row r="325" spans="32:37" x14ac:dyDescent="0.3">
      <c r="AF325" s="14" t="s">
        <v>257</v>
      </c>
      <c r="AG325" s="14"/>
      <c r="AH325" t="s">
        <v>637</v>
      </c>
      <c r="AI325" t="s">
        <v>343</v>
      </c>
      <c r="AJ325">
        <v>41394</v>
      </c>
      <c r="AK325" t="s">
        <v>1043</v>
      </c>
    </row>
    <row r="326" spans="32:37" x14ac:dyDescent="0.3">
      <c r="AF326" s="14" t="s">
        <v>451</v>
      </c>
      <c r="AG326" s="14"/>
      <c r="AH326" t="s">
        <v>638</v>
      </c>
      <c r="AI326" t="s">
        <v>492</v>
      </c>
      <c r="AJ326">
        <v>41172</v>
      </c>
      <c r="AK326" t="s">
        <v>1035</v>
      </c>
    </row>
    <row r="327" spans="32:37" x14ac:dyDescent="0.3">
      <c r="AF327" s="14" t="s">
        <v>328</v>
      </c>
      <c r="AG327" s="14"/>
      <c r="AH327" t="s">
        <v>639</v>
      </c>
      <c r="AI327" t="s">
        <v>512</v>
      </c>
      <c r="AJ327">
        <v>43083</v>
      </c>
      <c r="AK327" t="s">
        <v>1035</v>
      </c>
    </row>
    <row r="328" spans="32:37" x14ac:dyDescent="0.3">
      <c r="AF328" s="14" t="s">
        <v>318</v>
      </c>
      <c r="AG328" s="14"/>
      <c r="AH328" t="s">
        <v>640</v>
      </c>
      <c r="AI328" t="s">
        <v>258</v>
      </c>
      <c r="AJ328">
        <v>43005</v>
      </c>
      <c r="AK328" t="s">
        <v>1038</v>
      </c>
    </row>
    <row r="329" spans="32:37" x14ac:dyDescent="0.3">
      <c r="AF329" s="14" t="s">
        <v>869</v>
      </c>
      <c r="AG329" s="14"/>
      <c r="AH329" t="s">
        <v>641</v>
      </c>
      <c r="AI329" t="s">
        <v>258</v>
      </c>
      <c r="AJ329">
        <v>42081</v>
      </c>
      <c r="AK329" t="s">
        <v>1044</v>
      </c>
    </row>
    <row r="330" spans="32:37" x14ac:dyDescent="0.3">
      <c r="AF330" s="14" t="s">
        <v>396</v>
      </c>
      <c r="AG330" s="14"/>
      <c r="AH330" t="s">
        <v>642</v>
      </c>
      <c r="AI330" t="s">
        <v>343</v>
      </c>
      <c r="AJ330">
        <v>42680</v>
      </c>
      <c r="AK330" t="s">
        <v>1037</v>
      </c>
    </row>
    <row r="331" spans="32:37" x14ac:dyDescent="0.3">
      <c r="AF331" s="14" t="s">
        <v>474</v>
      </c>
      <c r="AG331" s="14"/>
      <c r="AH331" t="s">
        <v>643</v>
      </c>
      <c r="AI331" t="s">
        <v>352</v>
      </c>
      <c r="AJ331">
        <v>41380</v>
      </c>
      <c r="AK331" t="s">
        <v>1035</v>
      </c>
    </row>
    <row r="332" spans="32:37" x14ac:dyDescent="0.3">
      <c r="AF332" s="14" t="s">
        <v>447</v>
      </c>
      <c r="AG332" s="14"/>
      <c r="AH332" t="s">
        <v>644</v>
      </c>
      <c r="AI332" t="s">
        <v>330</v>
      </c>
      <c r="AJ332">
        <v>42728</v>
      </c>
      <c r="AK332" t="s">
        <v>1037</v>
      </c>
    </row>
    <row r="333" spans="32:37" x14ac:dyDescent="0.3">
      <c r="AF333" s="14" t="s">
        <v>604</v>
      </c>
      <c r="AG333" s="14"/>
      <c r="AH333" t="s">
        <v>645</v>
      </c>
      <c r="AI333" t="s">
        <v>343</v>
      </c>
      <c r="AJ333">
        <v>41535</v>
      </c>
      <c r="AK333" t="s">
        <v>1043</v>
      </c>
    </row>
    <row r="334" spans="32:37" x14ac:dyDescent="0.3">
      <c r="AF334" s="14" t="s">
        <v>668</v>
      </c>
      <c r="AG334" s="14"/>
      <c r="AH334" t="s">
        <v>646</v>
      </c>
      <c r="AI334" t="s">
        <v>343</v>
      </c>
      <c r="AJ334">
        <v>41380</v>
      </c>
      <c r="AK334" t="s">
        <v>1043</v>
      </c>
    </row>
    <row r="335" spans="32:37" x14ac:dyDescent="0.3">
      <c r="AF335" s="14" t="s">
        <v>469</v>
      </c>
      <c r="AG335" s="14"/>
      <c r="AH335" t="s">
        <v>647</v>
      </c>
      <c r="AI335" t="s">
        <v>258</v>
      </c>
      <c r="AJ335">
        <v>42675</v>
      </c>
      <c r="AK335" t="s">
        <v>1041</v>
      </c>
    </row>
    <row r="336" spans="32:37" x14ac:dyDescent="0.3">
      <c r="AF336" s="14" t="s">
        <v>908</v>
      </c>
      <c r="AG336" s="14"/>
      <c r="AH336" t="s">
        <v>648</v>
      </c>
      <c r="AI336" t="s">
        <v>312</v>
      </c>
      <c r="AJ336">
        <v>43088</v>
      </c>
      <c r="AK336" t="s">
        <v>1038</v>
      </c>
    </row>
    <row r="337" spans="32:37" x14ac:dyDescent="0.3">
      <c r="AF337" s="14" t="s">
        <v>695</v>
      </c>
      <c r="AG337" s="14"/>
      <c r="AH337" t="s">
        <v>649</v>
      </c>
      <c r="AI337" t="s">
        <v>650</v>
      </c>
      <c r="AJ337">
        <v>40906</v>
      </c>
      <c r="AK337" t="s">
        <v>1035</v>
      </c>
    </row>
    <row r="338" spans="32:37" x14ac:dyDescent="0.3">
      <c r="AF338" s="14" t="s">
        <v>520</v>
      </c>
      <c r="AG338" s="14"/>
      <c r="AH338" t="s">
        <v>651</v>
      </c>
      <c r="AI338" t="s">
        <v>258</v>
      </c>
      <c r="AJ338">
        <v>42349</v>
      </c>
      <c r="AK338" t="s">
        <v>1041</v>
      </c>
    </row>
    <row r="339" spans="32:37" x14ac:dyDescent="0.3">
      <c r="AF339" s="14" t="s">
        <v>539</v>
      </c>
      <c r="AG339" s="14"/>
      <c r="AH339" t="s">
        <v>652</v>
      </c>
      <c r="AI339" t="s">
        <v>343</v>
      </c>
      <c r="AJ339">
        <v>42079</v>
      </c>
      <c r="AK339" t="s">
        <v>1044</v>
      </c>
    </row>
    <row r="340" spans="32:37" x14ac:dyDescent="0.3">
      <c r="AF340" s="14" t="s">
        <v>744</v>
      </c>
      <c r="AG340" s="14"/>
      <c r="AH340" t="s">
        <v>653</v>
      </c>
      <c r="AI340" t="s">
        <v>243</v>
      </c>
      <c r="AJ340">
        <v>42645</v>
      </c>
      <c r="AK340" t="s">
        <v>1041</v>
      </c>
    </row>
    <row r="341" spans="32:37" x14ac:dyDescent="0.3">
      <c r="AF341" s="14" t="s">
        <v>570</v>
      </c>
      <c r="AG341" s="14"/>
      <c r="AH341" t="s">
        <v>654</v>
      </c>
      <c r="AI341" t="s">
        <v>655</v>
      </c>
      <c r="AJ341">
        <v>41789</v>
      </c>
      <c r="AK341" t="s">
        <v>1035</v>
      </c>
    </row>
    <row r="342" spans="32:37" x14ac:dyDescent="0.3">
      <c r="AF342" s="14" t="s">
        <v>971</v>
      </c>
      <c r="AG342" s="14"/>
      <c r="AH342" t="s">
        <v>656</v>
      </c>
      <c r="AI342" t="s">
        <v>657</v>
      </c>
      <c r="AJ342">
        <v>43266</v>
      </c>
      <c r="AK342" t="s">
        <v>1037</v>
      </c>
    </row>
    <row r="343" spans="32:37" x14ac:dyDescent="0.3">
      <c r="AF343" s="14" t="s">
        <v>750</v>
      </c>
      <c r="AG343" s="14"/>
      <c r="AH343" t="s">
        <v>658</v>
      </c>
      <c r="AI343" t="s">
        <v>343</v>
      </c>
      <c r="AJ343">
        <v>42277</v>
      </c>
      <c r="AK343" t="s">
        <v>1044</v>
      </c>
    </row>
    <row r="344" spans="32:37" x14ac:dyDescent="0.3">
      <c r="AF344" s="14" t="s">
        <v>830</v>
      </c>
      <c r="AG344" s="14"/>
      <c r="AH344" t="s">
        <v>659</v>
      </c>
      <c r="AI344" t="s">
        <v>258</v>
      </c>
      <c r="AJ344">
        <v>42274</v>
      </c>
      <c r="AK344" t="s">
        <v>1044</v>
      </c>
    </row>
    <row r="345" spans="32:37" x14ac:dyDescent="0.3">
      <c r="AF345" s="14" t="s">
        <v>764</v>
      </c>
      <c r="AG345" s="14"/>
      <c r="AH345" t="s">
        <v>660</v>
      </c>
      <c r="AI345" t="s">
        <v>661</v>
      </c>
      <c r="AJ345">
        <v>41853</v>
      </c>
      <c r="AK345" t="s">
        <v>1039</v>
      </c>
    </row>
    <row r="346" spans="32:37" x14ac:dyDescent="0.3">
      <c r="AF346" s="14" t="s">
        <v>705</v>
      </c>
      <c r="AG346" s="14"/>
      <c r="AH346" t="s">
        <v>662</v>
      </c>
      <c r="AI346" t="s">
        <v>590</v>
      </c>
      <c r="AJ346">
        <v>41638</v>
      </c>
      <c r="AK346" t="s">
        <v>1035</v>
      </c>
    </row>
    <row r="347" spans="32:37" x14ac:dyDescent="0.3">
      <c r="AF347" s="14" t="s">
        <v>442</v>
      </c>
      <c r="AG347" s="14"/>
      <c r="AH347" t="s">
        <v>663</v>
      </c>
      <c r="AI347" t="s">
        <v>258</v>
      </c>
      <c r="AJ347">
        <v>42055</v>
      </c>
      <c r="AK347" t="s">
        <v>1044</v>
      </c>
    </row>
    <row r="348" spans="32:37" x14ac:dyDescent="0.3">
      <c r="AF348" s="14" t="s">
        <v>403</v>
      </c>
      <c r="AG348" s="14"/>
      <c r="AH348" t="s">
        <v>664</v>
      </c>
      <c r="AI348" t="s">
        <v>516</v>
      </c>
      <c r="AJ348">
        <v>40564.667361111111</v>
      </c>
      <c r="AK348" t="s">
        <v>1046</v>
      </c>
    </row>
    <row r="349" spans="32:37" x14ac:dyDescent="0.3">
      <c r="AF349" s="14" t="s">
        <v>974</v>
      </c>
      <c r="AG349" s="14"/>
      <c r="AH349" t="s">
        <v>665</v>
      </c>
      <c r="AI349" t="s">
        <v>468</v>
      </c>
      <c r="AJ349">
        <v>41993</v>
      </c>
      <c r="AK349" t="s">
        <v>1039</v>
      </c>
    </row>
    <row r="350" spans="32:37" x14ac:dyDescent="0.3">
      <c r="AF350" s="14" t="s">
        <v>384</v>
      </c>
      <c r="AG350" s="14"/>
      <c r="AH350" t="s">
        <v>666</v>
      </c>
      <c r="AI350" t="s">
        <v>667</v>
      </c>
      <c r="AJ350">
        <v>40325</v>
      </c>
      <c r="AK350" t="s">
        <v>1035</v>
      </c>
    </row>
    <row r="351" spans="32:37" x14ac:dyDescent="0.3">
      <c r="AF351" s="14" t="s">
        <v>671</v>
      </c>
      <c r="AG351" s="14"/>
      <c r="AH351" t="s">
        <v>668</v>
      </c>
      <c r="AI351" t="s">
        <v>669</v>
      </c>
      <c r="AJ351">
        <v>41626</v>
      </c>
      <c r="AK351" t="s">
        <v>1035</v>
      </c>
    </row>
    <row r="352" spans="32:37" x14ac:dyDescent="0.3">
      <c r="AF352" s="14" t="s">
        <v>663</v>
      </c>
      <c r="AG352" s="14"/>
      <c r="AH352" t="s">
        <v>670</v>
      </c>
      <c r="AI352" t="s">
        <v>343</v>
      </c>
      <c r="AJ352">
        <v>41916</v>
      </c>
      <c r="AK352" t="s">
        <v>1045</v>
      </c>
    </row>
    <row r="353" spans="32:37" x14ac:dyDescent="0.3">
      <c r="AF353" s="14" t="s">
        <v>450</v>
      </c>
      <c r="AG353" s="14"/>
      <c r="AH353" t="s">
        <v>671</v>
      </c>
      <c r="AI353" t="s">
        <v>258</v>
      </c>
      <c r="AJ353">
        <v>41991</v>
      </c>
      <c r="AK353" t="s">
        <v>1044</v>
      </c>
    </row>
    <row r="354" spans="32:37" x14ac:dyDescent="0.3">
      <c r="AF354" s="14" t="s">
        <v>480</v>
      </c>
      <c r="AG354" s="14"/>
      <c r="AH354" t="s">
        <v>672</v>
      </c>
      <c r="AI354" t="s">
        <v>394</v>
      </c>
      <c r="AJ354">
        <v>40843</v>
      </c>
      <c r="AK354" t="s">
        <v>1035</v>
      </c>
    </row>
    <row r="355" spans="32:37" x14ac:dyDescent="0.3">
      <c r="AF355" s="14" t="s">
        <v>513</v>
      </c>
      <c r="AG355" s="14"/>
      <c r="AH355" t="s">
        <v>673</v>
      </c>
      <c r="AI355" t="s">
        <v>516</v>
      </c>
      <c r="AJ355">
        <v>42569</v>
      </c>
      <c r="AK355" t="s">
        <v>1041</v>
      </c>
    </row>
    <row r="356" spans="32:37" x14ac:dyDescent="0.3">
      <c r="AF356" s="14" t="s">
        <v>902</v>
      </c>
      <c r="AG356" s="14"/>
      <c r="AH356" t="s">
        <v>674</v>
      </c>
      <c r="AI356" t="s">
        <v>343</v>
      </c>
      <c r="AJ356">
        <v>42544</v>
      </c>
      <c r="AK356" t="s">
        <v>1037</v>
      </c>
    </row>
    <row r="357" spans="32:37" x14ac:dyDescent="0.3">
      <c r="AF357" s="14" t="s">
        <v>978</v>
      </c>
      <c r="AG357" s="14"/>
      <c r="AH357" t="s">
        <v>675</v>
      </c>
      <c r="AI357" t="s">
        <v>352</v>
      </c>
      <c r="AJ357">
        <v>41380</v>
      </c>
      <c r="AK357" t="s">
        <v>1035</v>
      </c>
    </row>
    <row r="358" spans="32:37" x14ac:dyDescent="0.3">
      <c r="AF358" s="14" t="s">
        <v>763</v>
      </c>
      <c r="AG358" s="14"/>
      <c r="AH358" t="s">
        <v>676</v>
      </c>
      <c r="AI358" t="s">
        <v>677</v>
      </c>
      <c r="AJ358">
        <v>41356</v>
      </c>
      <c r="AK358" t="s">
        <v>1035</v>
      </c>
    </row>
    <row r="359" spans="32:37" x14ac:dyDescent="0.3">
      <c r="AF359" s="14" t="s">
        <v>803</v>
      </c>
      <c r="AG359" s="14"/>
      <c r="AH359" t="s">
        <v>678</v>
      </c>
      <c r="AI359" t="s">
        <v>258</v>
      </c>
      <c r="AJ359">
        <v>42264</v>
      </c>
      <c r="AK359" t="s">
        <v>1044</v>
      </c>
    </row>
    <row r="360" spans="32:37" x14ac:dyDescent="0.3">
      <c r="AF360" s="14" t="s">
        <v>463</v>
      </c>
      <c r="AG360" s="14"/>
      <c r="AH360" t="s">
        <v>679</v>
      </c>
      <c r="AI360" t="s">
        <v>680</v>
      </c>
      <c r="AJ360">
        <v>42282</v>
      </c>
      <c r="AK360" t="s">
        <v>1035</v>
      </c>
    </row>
    <row r="361" spans="32:37" x14ac:dyDescent="0.3">
      <c r="AF361" s="14" t="s">
        <v>816</v>
      </c>
      <c r="AG361" s="14"/>
      <c r="AH361" t="s">
        <v>681</v>
      </c>
      <c r="AI361" t="s">
        <v>682</v>
      </c>
      <c r="AJ361">
        <v>43057</v>
      </c>
      <c r="AK361" t="s">
        <v>1035</v>
      </c>
    </row>
    <row r="362" spans="32:37" x14ac:dyDescent="0.3">
      <c r="AF362" s="14" t="s">
        <v>818</v>
      </c>
      <c r="AG362" s="14"/>
      <c r="AH362" t="s">
        <v>683</v>
      </c>
      <c r="AI362" t="s">
        <v>394</v>
      </c>
      <c r="AJ362">
        <v>42803.166666666664</v>
      </c>
      <c r="AK362" t="s">
        <v>1035</v>
      </c>
    </row>
    <row r="363" spans="32:37" x14ac:dyDescent="0.3">
      <c r="AF363" s="14" t="s">
        <v>826</v>
      </c>
      <c r="AG363" s="14"/>
      <c r="AH363" t="s">
        <v>684</v>
      </c>
      <c r="AI363" t="s">
        <v>240</v>
      </c>
      <c r="AJ363">
        <v>41536</v>
      </c>
      <c r="AK363" t="s">
        <v>1047</v>
      </c>
    </row>
    <row r="364" spans="32:37" x14ac:dyDescent="0.3">
      <c r="AF364" s="14" t="s">
        <v>552</v>
      </c>
      <c r="AG364" s="14"/>
      <c r="AH364" t="s">
        <v>685</v>
      </c>
      <c r="AI364" t="s">
        <v>258</v>
      </c>
      <c r="AJ364">
        <v>42599</v>
      </c>
      <c r="AK364" t="s">
        <v>1041</v>
      </c>
    </row>
    <row r="365" spans="32:37" x14ac:dyDescent="0.3">
      <c r="AF365" s="14" t="s">
        <v>620</v>
      </c>
      <c r="AG365" s="14"/>
      <c r="AH365" t="s">
        <v>686</v>
      </c>
      <c r="AI365" t="s">
        <v>687</v>
      </c>
      <c r="AJ365">
        <v>42032</v>
      </c>
      <c r="AK365" t="s">
        <v>1035</v>
      </c>
    </row>
    <row r="366" spans="32:37" x14ac:dyDescent="0.3">
      <c r="AF366" s="14" t="s">
        <v>514</v>
      </c>
      <c r="AG366" s="14"/>
      <c r="AH366" t="s">
        <v>688</v>
      </c>
      <c r="AI366" t="s">
        <v>352</v>
      </c>
      <c r="AJ366">
        <v>41180</v>
      </c>
      <c r="AK366" t="s">
        <v>1035</v>
      </c>
    </row>
    <row r="367" spans="32:37" x14ac:dyDescent="0.3">
      <c r="AF367" s="14" t="s">
        <v>473</v>
      </c>
      <c r="AG367" s="14"/>
      <c r="AH367" t="s">
        <v>689</v>
      </c>
      <c r="AI367" t="s">
        <v>415</v>
      </c>
      <c r="AJ367">
        <v>41729</v>
      </c>
      <c r="AK367" t="s">
        <v>1035</v>
      </c>
    </row>
    <row r="368" spans="32:37" x14ac:dyDescent="0.3">
      <c r="AF368" s="14" t="s">
        <v>800</v>
      </c>
      <c r="AG368" s="14"/>
      <c r="AH368" t="s">
        <v>690</v>
      </c>
      <c r="AI368" t="s">
        <v>284</v>
      </c>
      <c r="AJ368">
        <v>42322</v>
      </c>
      <c r="AK368" t="s">
        <v>1039</v>
      </c>
    </row>
    <row r="369" spans="32:37" x14ac:dyDescent="0.3">
      <c r="AF369" s="14" t="s">
        <v>807</v>
      </c>
      <c r="AG369" s="14"/>
      <c r="AH369" t="s">
        <v>691</v>
      </c>
      <c r="AI369" t="s">
        <v>516</v>
      </c>
      <c r="AJ369">
        <v>42569</v>
      </c>
      <c r="AK369" t="s">
        <v>1041</v>
      </c>
    </row>
    <row r="370" spans="32:37" x14ac:dyDescent="0.3">
      <c r="AF370" s="14" t="s">
        <v>486</v>
      </c>
      <c r="AG370" s="14"/>
      <c r="AH370" t="s">
        <v>692</v>
      </c>
      <c r="AI370" t="s">
        <v>693</v>
      </c>
      <c r="AJ370">
        <v>41359.820833333331</v>
      </c>
      <c r="AK370" t="s">
        <v>1035</v>
      </c>
    </row>
    <row r="371" spans="32:37" x14ac:dyDescent="0.3">
      <c r="AF371" s="14" t="s">
        <v>927</v>
      </c>
      <c r="AG371" s="14"/>
      <c r="AH371" t="s">
        <v>694</v>
      </c>
      <c r="AI371" t="s">
        <v>407</v>
      </c>
      <c r="AJ371">
        <v>42817</v>
      </c>
      <c r="AK371" t="s">
        <v>1035</v>
      </c>
    </row>
    <row r="372" spans="32:37" x14ac:dyDescent="0.3">
      <c r="AF372" s="14" t="s">
        <v>601</v>
      </c>
      <c r="AG372" s="14"/>
      <c r="AH372" t="s">
        <v>695</v>
      </c>
      <c r="AI372" t="s">
        <v>258</v>
      </c>
      <c r="AJ372">
        <v>41817</v>
      </c>
      <c r="AK372" t="s">
        <v>1039</v>
      </c>
    </row>
    <row r="373" spans="32:37" x14ac:dyDescent="0.3">
      <c r="AF373" s="14" t="s">
        <v>954</v>
      </c>
      <c r="AG373" s="14"/>
      <c r="AH373" t="s">
        <v>696</v>
      </c>
      <c r="AI373" t="s">
        <v>697</v>
      </c>
      <c r="AJ373">
        <v>42026</v>
      </c>
      <c r="AK373" t="s">
        <v>1035</v>
      </c>
    </row>
    <row r="374" spans="32:37" x14ac:dyDescent="0.3">
      <c r="AF374" s="14" t="s">
        <v>789</v>
      </c>
      <c r="AG374" s="14"/>
      <c r="AH374" t="s">
        <v>698</v>
      </c>
      <c r="AI374" t="s">
        <v>343</v>
      </c>
      <c r="AJ374">
        <v>41624</v>
      </c>
      <c r="AK374" t="s">
        <v>1045</v>
      </c>
    </row>
    <row r="375" spans="32:37" x14ac:dyDescent="0.3">
      <c r="AF375" s="14" t="s">
        <v>617</v>
      </c>
      <c r="AG375" s="14"/>
      <c r="AH375" t="s">
        <v>699</v>
      </c>
      <c r="AI375" t="s">
        <v>343</v>
      </c>
      <c r="AJ375">
        <v>41604</v>
      </c>
      <c r="AK375" t="s">
        <v>1045</v>
      </c>
    </row>
    <row r="376" spans="32:37" x14ac:dyDescent="0.3">
      <c r="AF376" s="14" t="s">
        <v>856</v>
      </c>
      <c r="AG376" s="14"/>
      <c r="AH376" t="s">
        <v>700</v>
      </c>
      <c r="AI376" t="s">
        <v>697</v>
      </c>
      <c r="AJ376">
        <v>42025</v>
      </c>
      <c r="AK376" t="s">
        <v>1035</v>
      </c>
    </row>
    <row r="377" spans="32:37" x14ac:dyDescent="0.3">
      <c r="AF377" s="14" t="s">
        <v>457</v>
      </c>
      <c r="AG377" s="14"/>
      <c r="AH377" t="s">
        <v>701</v>
      </c>
      <c r="AI377" t="s">
        <v>352</v>
      </c>
      <c r="AJ377">
        <v>41180</v>
      </c>
      <c r="AK377" t="s">
        <v>1035</v>
      </c>
    </row>
    <row r="378" spans="32:37" x14ac:dyDescent="0.3">
      <c r="AF378" s="14" t="s">
        <v>622</v>
      </c>
      <c r="AG378" s="14"/>
      <c r="AH378" t="s">
        <v>702</v>
      </c>
      <c r="AI378" t="s">
        <v>703</v>
      </c>
      <c r="AJ378">
        <v>41972</v>
      </c>
      <c r="AK378" t="s">
        <v>1039</v>
      </c>
    </row>
    <row r="379" spans="32:37" x14ac:dyDescent="0.3">
      <c r="AF379" s="14" t="s">
        <v>472</v>
      </c>
      <c r="AG379" s="14"/>
      <c r="AH379" t="s">
        <v>704</v>
      </c>
      <c r="AI379" t="s">
        <v>627</v>
      </c>
      <c r="AJ379">
        <v>41544</v>
      </c>
      <c r="AK379" t="s">
        <v>1039</v>
      </c>
    </row>
    <row r="380" spans="32:37" x14ac:dyDescent="0.3">
      <c r="AF380" s="14" t="s">
        <v>532</v>
      </c>
      <c r="AG380" s="14"/>
      <c r="AH380" t="s">
        <v>705</v>
      </c>
      <c r="AI380" t="s">
        <v>258</v>
      </c>
      <c r="AJ380">
        <v>42588</v>
      </c>
      <c r="AK380" t="s">
        <v>1041</v>
      </c>
    </row>
    <row r="381" spans="32:37" x14ac:dyDescent="0.3">
      <c r="AF381" s="14" t="s">
        <v>563</v>
      </c>
      <c r="AG381" s="14"/>
      <c r="AH381" t="s">
        <v>706</v>
      </c>
      <c r="AI381" t="s">
        <v>258</v>
      </c>
      <c r="AJ381">
        <v>43273</v>
      </c>
      <c r="AK381" t="s">
        <v>1038</v>
      </c>
    </row>
    <row r="382" spans="32:37" x14ac:dyDescent="0.3">
      <c r="AF382" s="14" t="s">
        <v>591</v>
      </c>
      <c r="AG382" s="14"/>
      <c r="AH382" t="s">
        <v>707</v>
      </c>
      <c r="AI382" t="s">
        <v>352</v>
      </c>
      <c r="AJ382">
        <v>41380</v>
      </c>
      <c r="AK382" t="s">
        <v>1035</v>
      </c>
    </row>
    <row r="383" spans="32:37" x14ac:dyDescent="0.3">
      <c r="AF383" s="14" t="s">
        <v>917</v>
      </c>
      <c r="AG383" s="14"/>
      <c r="AH383" t="s">
        <v>708</v>
      </c>
      <c r="AI383" t="s">
        <v>284</v>
      </c>
      <c r="AJ383">
        <v>43373</v>
      </c>
      <c r="AK383" t="s">
        <v>1038</v>
      </c>
    </row>
    <row r="384" spans="32:37" x14ac:dyDescent="0.3">
      <c r="AF384" s="14" t="s">
        <v>829</v>
      </c>
      <c r="AG384" s="14"/>
      <c r="AH384" t="s">
        <v>709</v>
      </c>
      <c r="AI384" t="s">
        <v>516</v>
      </c>
      <c r="AJ384">
        <v>42277</v>
      </c>
      <c r="AK384" t="s">
        <v>1041</v>
      </c>
    </row>
    <row r="385" spans="32:37" x14ac:dyDescent="0.3">
      <c r="AF385" s="14" t="s">
        <v>886</v>
      </c>
      <c r="AG385" s="14"/>
      <c r="AH385" t="s">
        <v>710</v>
      </c>
      <c r="AI385" t="s">
        <v>263</v>
      </c>
      <c r="AJ385">
        <v>43278</v>
      </c>
      <c r="AK385" t="s">
        <v>1035</v>
      </c>
    </row>
    <row r="386" spans="32:37" x14ac:dyDescent="0.3">
      <c r="AF386" s="14" t="s">
        <v>630</v>
      </c>
      <c r="AG386" s="14"/>
      <c r="AH386" t="s">
        <v>711</v>
      </c>
      <c r="AI386" t="s">
        <v>489</v>
      </c>
      <c r="AJ386">
        <v>39995</v>
      </c>
      <c r="AK386" t="s">
        <v>1035</v>
      </c>
    </row>
    <row r="387" spans="32:37" x14ac:dyDescent="0.3">
      <c r="AF387" s="14" t="s">
        <v>827</v>
      </c>
      <c r="AG387" s="14"/>
      <c r="AH387" t="s">
        <v>712</v>
      </c>
      <c r="AI387" t="s">
        <v>516</v>
      </c>
      <c r="AJ387">
        <v>40180</v>
      </c>
      <c r="AK387" t="s">
        <v>1035</v>
      </c>
    </row>
    <row r="388" spans="32:37" x14ac:dyDescent="0.3">
      <c r="AF388" s="14" t="s">
        <v>641</v>
      </c>
      <c r="AG388" s="14"/>
      <c r="AH388" t="s">
        <v>713</v>
      </c>
      <c r="AI388" t="s">
        <v>249</v>
      </c>
      <c r="AJ388">
        <v>40906</v>
      </c>
      <c r="AK388" t="s">
        <v>1035</v>
      </c>
    </row>
    <row r="389" spans="32:37" x14ac:dyDescent="0.3">
      <c r="AF389" s="14" t="s">
        <v>813</v>
      </c>
      <c r="AG389" s="14"/>
      <c r="AH389" t="s">
        <v>714</v>
      </c>
      <c r="AI389" t="s">
        <v>715</v>
      </c>
      <c r="AJ389">
        <v>43638</v>
      </c>
      <c r="AK389" t="s">
        <v>1038</v>
      </c>
    </row>
    <row r="390" spans="32:37" x14ac:dyDescent="0.3">
      <c r="AF390" s="14" t="s">
        <v>446</v>
      </c>
      <c r="AG390" s="14"/>
      <c r="AH390" t="s">
        <v>716</v>
      </c>
      <c r="AI390" t="s">
        <v>717</v>
      </c>
      <c r="AJ390">
        <v>40815</v>
      </c>
      <c r="AK390" t="s">
        <v>1046</v>
      </c>
    </row>
    <row r="391" spans="32:37" x14ac:dyDescent="0.3">
      <c r="AF391" s="14" t="s">
        <v>623</v>
      </c>
      <c r="AG391" s="14"/>
      <c r="AH391" t="s">
        <v>718</v>
      </c>
      <c r="AI391" t="s">
        <v>519</v>
      </c>
      <c r="AJ391">
        <v>41731</v>
      </c>
      <c r="AK391" t="s">
        <v>1042</v>
      </c>
    </row>
    <row r="392" spans="32:37" x14ac:dyDescent="0.3">
      <c r="AF392" s="14" t="s">
        <v>455</v>
      </c>
      <c r="AG392" s="14"/>
      <c r="AH392" t="s">
        <v>719</v>
      </c>
      <c r="AI392" t="s">
        <v>720</v>
      </c>
      <c r="AJ392">
        <v>41445</v>
      </c>
      <c r="AK392" t="s">
        <v>1035</v>
      </c>
    </row>
    <row r="393" spans="32:37" x14ac:dyDescent="0.3">
      <c r="AF393" s="14" t="s">
        <v>556</v>
      </c>
      <c r="AG393" s="14"/>
      <c r="AH393" t="s">
        <v>721</v>
      </c>
      <c r="AI393" t="s">
        <v>258</v>
      </c>
      <c r="AJ393">
        <v>42414</v>
      </c>
      <c r="AK393" t="s">
        <v>1041</v>
      </c>
    </row>
    <row r="394" spans="32:37" x14ac:dyDescent="0.3">
      <c r="AF394" s="14" t="s">
        <v>527</v>
      </c>
      <c r="AG394" s="14"/>
      <c r="AH394" t="s">
        <v>722</v>
      </c>
      <c r="AI394" t="s">
        <v>343</v>
      </c>
      <c r="AJ394">
        <v>41535</v>
      </c>
      <c r="AK394" t="s">
        <v>1043</v>
      </c>
    </row>
    <row r="395" spans="32:37" x14ac:dyDescent="0.3">
      <c r="AF395" s="14" t="s">
        <v>809</v>
      </c>
      <c r="AG395" s="14"/>
      <c r="AH395" t="s">
        <v>723</v>
      </c>
      <c r="AI395" t="s">
        <v>258</v>
      </c>
      <c r="AJ395">
        <v>42624</v>
      </c>
      <c r="AK395" t="s">
        <v>1041</v>
      </c>
    </row>
    <row r="396" spans="32:37" x14ac:dyDescent="0.3">
      <c r="AF396" s="14" t="s">
        <v>606</v>
      </c>
      <c r="AG396" s="14"/>
      <c r="AH396" t="s">
        <v>724</v>
      </c>
      <c r="AI396" t="s">
        <v>343</v>
      </c>
      <c r="AJ396">
        <v>42643</v>
      </c>
      <c r="AK396" t="s">
        <v>1037</v>
      </c>
    </row>
    <row r="397" spans="32:37" x14ac:dyDescent="0.3">
      <c r="AF397" s="14" t="s">
        <v>812</v>
      </c>
      <c r="AG397" s="14"/>
      <c r="AH397" t="s">
        <v>725</v>
      </c>
      <c r="AI397" t="s">
        <v>655</v>
      </c>
      <c r="AJ397">
        <v>41586</v>
      </c>
      <c r="AK397" t="s">
        <v>1035</v>
      </c>
    </row>
    <row r="398" spans="32:37" x14ac:dyDescent="0.3">
      <c r="AF398" s="14" t="s">
        <v>567</v>
      </c>
      <c r="AG398" s="14"/>
      <c r="AH398" t="s">
        <v>726</v>
      </c>
      <c r="AI398" t="s">
        <v>290</v>
      </c>
      <c r="AJ398">
        <v>43532</v>
      </c>
      <c r="AK398" t="s">
        <v>1038</v>
      </c>
    </row>
    <row r="399" spans="32:37" x14ac:dyDescent="0.3">
      <c r="AF399" s="14" t="s">
        <v>916</v>
      </c>
      <c r="AG399" s="14"/>
      <c r="AH399" t="s">
        <v>727</v>
      </c>
      <c r="AI399" t="s">
        <v>263</v>
      </c>
      <c r="AJ399">
        <v>43086</v>
      </c>
      <c r="AK399" t="s">
        <v>1035</v>
      </c>
    </row>
    <row r="400" spans="32:37" x14ac:dyDescent="0.3">
      <c r="AF400" s="14" t="s">
        <v>466</v>
      </c>
      <c r="AG400" s="14"/>
      <c r="AH400" t="s">
        <v>728</v>
      </c>
      <c r="AI400" t="s">
        <v>407</v>
      </c>
      <c r="AJ400">
        <v>42735</v>
      </c>
      <c r="AK400" t="s">
        <v>1035</v>
      </c>
    </row>
    <row r="401" spans="32:37" x14ac:dyDescent="0.3">
      <c r="AF401" s="14" t="s">
        <v>942</v>
      </c>
      <c r="AG401" s="14"/>
      <c r="AH401" t="s">
        <v>729</v>
      </c>
      <c r="AI401" t="s">
        <v>489</v>
      </c>
      <c r="AJ401">
        <v>41547</v>
      </c>
      <c r="AK401" t="s">
        <v>1035</v>
      </c>
    </row>
    <row r="402" spans="32:37" x14ac:dyDescent="0.3">
      <c r="AF402" s="14" t="s">
        <v>755</v>
      </c>
      <c r="AG402" s="14"/>
      <c r="AH402" t="s">
        <v>730</v>
      </c>
      <c r="AI402" t="s">
        <v>516</v>
      </c>
      <c r="AJ402">
        <v>40712.630555555559</v>
      </c>
      <c r="AK402" t="s">
        <v>1046</v>
      </c>
    </row>
    <row r="403" spans="32:37" x14ac:dyDescent="0.3">
      <c r="AF403" s="14" t="s">
        <v>607</v>
      </c>
      <c r="AG403" s="14"/>
      <c r="AH403" t="s">
        <v>731</v>
      </c>
      <c r="AI403" t="s">
        <v>258</v>
      </c>
      <c r="AJ403">
        <v>43207</v>
      </c>
      <c r="AK403" t="s">
        <v>1038</v>
      </c>
    </row>
    <row r="404" spans="32:37" x14ac:dyDescent="0.3">
      <c r="AF404" s="14" t="s">
        <v>841</v>
      </c>
      <c r="AG404" s="14"/>
      <c r="AH404" t="s">
        <v>732</v>
      </c>
      <c r="AI404" t="s">
        <v>733</v>
      </c>
      <c r="AJ404">
        <v>40896</v>
      </c>
      <c r="AK404" t="s">
        <v>1035</v>
      </c>
    </row>
    <row r="405" spans="32:37" x14ac:dyDescent="0.3">
      <c r="AF405" s="14" t="s">
        <v>897</v>
      </c>
      <c r="AG405" s="14"/>
      <c r="AH405" t="s">
        <v>734</v>
      </c>
      <c r="AI405" t="s">
        <v>599</v>
      </c>
      <c r="AJ405">
        <v>40816</v>
      </c>
      <c r="AK405" t="s">
        <v>1046</v>
      </c>
    </row>
    <row r="406" spans="32:37" x14ac:dyDescent="0.3">
      <c r="AF406" s="14" t="s">
        <v>487</v>
      </c>
      <c r="AG406" s="14"/>
      <c r="AH406" t="s">
        <v>735</v>
      </c>
      <c r="AI406" t="s">
        <v>516</v>
      </c>
      <c r="AJ406">
        <v>41341</v>
      </c>
      <c r="AK406" t="s">
        <v>1043</v>
      </c>
    </row>
    <row r="407" spans="32:37" x14ac:dyDescent="0.3">
      <c r="AF407" s="14" t="s">
        <v>945</v>
      </c>
      <c r="AG407" s="14"/>
      <c r="AH407" t="s">
        <v>736</v>
      </c>
      <c r="AI407" t="s">
        <v>611</v>
      </c>
      <c r="AJ407">
        <v>42550</v>
      </c>
      <c r="AK407" t="s">
        <v>1041</v>
      </c>
    </row>
    <row r="408" spans="32:37" x14ac:dyDescent="0.3">
      <c r="AF408" s="14" t="s">
        <v>659</v>
      </c>
      <c r="AG408" s="14"/>
      <c r="AH408" t="s">
        <v>737</v>
      </c>
      <c r="AI408" t="s">
        <v>343</v>
      </c>
      <c r="AJ408">
        <v>41512</v>
      </c>
      <c r="AK408" t="s">
        <v>1043</v>
      </c>
    </row>
    <row r="409" spans="32:37" x14ac:dyDescent="0.3">
      <c r="AF409" s="14" t="s">
        <v>991</v>
      </c>
      <c r="AG409" s="14"/>
      <c r="AH409" t="s">
        <v>738</v>
      </c>
      <c r="AI409" t="s">
        <v>739</v>
      </c>
      <c r="AJ409">
        <v>41254</v>
      </c>
      <c r="AK409" t="s">
        <v>1039</v>
      </c>
    </row>
    <row r="410" spans="32:37" x14ac:dyDescent="0.3">
      <c r="AF410" s="14" t="s">
        <v>862</v>
      </c>
      <c r="AG410" s="14"/>
      <c r="AH410" t="s">
        <v>740</v>
      </c>
      <c r="AI410" t="s">
        <v>343</v>
      </c>
      <c r="AJ410">
        <v>42874</v>
      </c>
      <c r="AK410" t="s">
        <v>1037</v>
      </c>
    </row>
    <row r="411" spans="32:37" x14ac:dyDescent="0.3">
      <c r="AF411" s="14" t="s">
        <v>678</v>
      </c>
      <c r="AG411" s="14"/>
      <c r="AH411" t="s">
        <v>741</v>
      </c>
      <c r="AI411" t="s">
        <v>742</v>
      </c>
      <c r="AJ411">
        <v>42153</v>
      </c>
      <c r="AK411" t="s">
        <v>1035</v>
      </c>
    </row>
    <row r="412" spans="32:37" x14ac:dyDescent="0.3">
      <c r="AF412" s="14" t="s">
        <v>910</v>
      </c>
      <c r="AG412" s="14"/>
      <c r="AH412" t="s">
        <v>743</v>
      </c>
      <c r="AI412" t="s">
        <v>343</v>
      </c>
      <c r="AJ412">
        <v>42552</v>
      </c>
      <c r="AK412" t="s">
        <v>1041</v>
      </c>
    </row>
    <row r="413" spans="32:37" x14ac:dyDescent="0.3">
      <c r="AF413" s="14" t="s">
        <v>922</v>
      </c>
      <c r="AG413" s="14"/>
      <c r="AH413" t="s">
        <v>744</v>
      </c>
      <c r="AI413" t="s">
        <v>258</v>
      </c>
      <c r="AJ413">
        <v>41911</v>
      </c>
      <c r="AK413" t="s">
        <v>1039</v>
      </c>
    </row>
    <row r="414" spans="32:37" x14ac:dyDescent="0.3">
      <c r="AF414" s="14" t="s">
        <v>947</v>
      </c>
      <c r="AG414" s="14"/>
      <c r="AH414" t="s">
        <v>745</v>
      </c>
      <c r="AI414" t="s">
        <v>693</v>
      </c>
      <c r="AJ414">
        <v>41151</v>
      </c>
      <c r="AK414" t="s">
        <v>1035</v>
      </c>
    </row>
    <row r="415" spans="32:37" x14ac:dyDescent="0.3">
      <c r="AF415" s="14" t="s">
        <v>777</v>
      </c>
      <c r="AG415" s="14"/>
      <c r="AH415" t="s">
        <v>746</v>
      </c>
      <c r="AI415" t="s">
        <v>516</v>
      </c>
      <c r="AJ415">
        <v>41357</v>
      </c>
      <c r="AK415" t="s">
        <v>1043</v>
      </c>
    </row>
    <row r="416" spans="32:37" x14ac:dyDescent="0.3">
      <c r="AF416" s="14" t="s">
        <v>952</v>
      </c>
      <c r="AG416" s="14"/>
      <c r="AH416" t="s">
        <v>747</v>
      </c>
      <c r="AI416" t="s">
        <v>516</v>
      </c>
      <c r="AJ416">
        <v>42263</v>
      </c>
      <c r="AK416" t="s">
        <v>1041</v>
      </c>
    </row>
    <row r="417" spans="32:37" x14ac:dyDescent="0.3">
      <c r="AF417" s="14" t="s">
        <v>804</v>
      </c>
      <c r="AG417" s="14"/>
      <c r="AH417" t="s">
        <v>748</v>
      </c>
      <c r="AI417" t="s">
        <v>258</v>
      </c>
      <c r="AJ417">
        <v>42604</v>
      </c>
      <c r="AK417" t="s">
        <v>1041</v>
      </c>
    </row>
    <row r="418" spans="32:37" x14ac:dyDescent="0.3">
      <c r="AF418" s="14" t="s">
        <v>568</v>
      </c>
      <c r="AG418" s="14"/>
      <c r="AH418" t="s">
        <v>749</v>
      </c>
      <c r="AI418" t="s">
        <v>258</v>
      </c>
      <c r="AJ418">
        <v>43200</v>
      </c>
      <c r="AK418" t="s">
        <v>1038</v>
      </c>
    </row>
    <row r="419" spans="32:37" x14ac:dyDescent="0.3">
      <c r="AF419" s="14" t="s">
        <v>618</v>
      </c>
      <c r="AG419" s="14"/>
      <c r="AH419" t="s">
        <v>750</v>
      </c>
      <c r="AI419" t="s">
        <v>258</v>
      </c>
      <c r="AJ419">
        <v>42633</v>
      </c>
      <c r="AK419" t="s">
        <v>1041</v>
      </c>
    </row>
    <row r="420" spans="32:37" x14ac:dyDescent="0.3">
      <c r="AF420" s="14" t="s">
        <v>271</v>
      </c>
      <c r="AG420" s="14"/>
      <c r="AH420" t="s">
        <v>751</v>
      </c>
      <c r="AI420" t="s">
        <v>343</v>
      </c>
      <c r="AJ420">
        <v>41403</v>
      </c>
      <c r="AK420" t="s">
        <v>1043</v>
      </c>
    </row>
    <row r="421" spans="32:37" x14ac:dyDescent="0.3">
      <c r="AF421" s="14" t="s">
        <v>454</v>
      </c>
      <c r="AG421" s="14"/>
      <c r="AH421" t="s">
        <v>752</v>
      </c>
      <c r="AI421" t="s">
        <v>753</v>
      </c>
      <c r="AJ421">
        <v>40884.720833333333</v>
      </c>
      <c r="AK421" t="s">
        <v>1035</v>
      </c>
    </row>
    <row r="422" spans="32:37" x14ac:dyDescent="0.3">
      <c r="AF422" s="14" t="s">
        <v>694</v>
      </c>
      <c r="AG422" s="14"/>
      <c r="AH422" t="s">
        <v>754</v>
      </c>
      <c r="AI422" t="s">
        <v>343</v>
      </c>
      <c r="AJ422">
        <v>41363</v>
      </c>
      <c r="AK422" t="s">
        <v>1043</v>
      </c>
    </row>
    <row r="423" spans="32:37" x14ac:dyDescent="0.3">
      <c r="AF423" s="14" t="s">
        <v>1027</v>
      </c>
      <c r="AG423" s="14"/>
      <c r="AH423" t="s">
        <v>755</v>
      </c>
      <c r="AI423" t="s">
        <v>258</v>
      </c>
      <c r="AJ423">
        <v>42384</v>
      </c>
      <c r="AK423" t="s">
        <v>1044</v>
      </c>
    </row>
    <row r="424" spans="32:37" x14ac:dyDescent="0.3">
      <c r="AF424" s="14" t="s">
        <v>935</v>
      </c>
      <c r="AG424" s="14"/>
      <c r="AH424" t="s">
        <v>756</v>
      </c>
      <c r="AI424" t="s">
        <v>757</v>
      </c>
      <c r="AJ424">
        <v>42825</v>
      </c>
      <c r="AK424" t="s">
        <v>1042</v>
      </c>
    </row>
    <row r="425" spans="32:37" x14ac:dyDescent="0.3">
      <c r="AF425" s="14" t="s">
        <v>406</v>
      </c>
      <c r="AG425" s="14"/>
      <c r="AH425" t="s">
        <v>758</v>
      </c>
      <c r="AI425" t="s">
        <v>759</v>
      </c>
      <c r="AJ425">
        <v>40809.49722222222</v>
      </c>
      <c r="AK425" t="s">
        <v>1035</v>
      </c>
    </row>
    <row r="426" spans="32:37" x14ac:dyDescent="0.3">
      <c r="AF426" s="14" t="s">
        <v>728</v>
      </c>
      <c r="AG426" s="14"/>
      <c r="AH426" t="s">
        <v>760</v>
      </c>
      <c r="AI426" t="s">
        <v>761</v>
      </c>
      <c r="AJ426">
        <v>40752.416666666664</v>
      </c>
      <c r="AK426" t="s">
        <v>1035</v>
      </c>
    </row>
    <row r="427" spans="32:37" x14ac:dyDescent="0.3">
      <c r="AF427" s="14" t="s">
        <v>602</v>
      </c>
      <c r="AG427" s="14"/>
      <c r="AH427" t="s">
        <v>762</v>
      </c>
      <c r="AI427" t="s">
        <v>489</v>
      </c>
      <c r="AJ427">
        <v>42089</v>
      </c>
      <c r="AK427" t="s">
        <v>1035</v>
      </c>
    </row>
    <row r="428" spans="32:37" x14ac:dyDescent="0.3">
      <c r="AF428" s="14" t="s">
        <v>408</v>
      </c>
      <c r="AG428" s="14"/>
      <c r="AH428" t="s">
        <v>763</v>
      </c>
      <c r="AI428" t="s">
        <v>258</v>
      </c>
      <c r="AJ428">
        <v>42090</v>
      </c>
      <c r="AK428" t="s">
        <v>1044</v>
      </c>
    </row>
    <row r="429" spans="32:37" x14ac:dyDescent="0.3">
      <c r="AF429" s="14" t="s">
        <v>738</v>
      </c>
      <c r="AG429" s="14"/>
      <c r="AH429" t="s">
        <v>764</v>
      </c>
      <c r="AI429" t="s">
        <v>258</v>
      </c>
      <c r="AJ429">
        <v>42368</v>
      </c>
      <c r="AK429" t="s">
        <v>1044</v>
      </c>
    </row>
    <row r="430" spans="32:37" x14ac:dyDescent="0.3">
      <c r="AF430" s="14" t="s">
        <v>696</v>
      </c>
      <c r="AG430" s="14"/>
      <c r="AH430" t="s">
        <v>765</v>
      </c>
      <c r="AI430" t="s">
        <v>243</v>
      </c>
      <c r="AJ430">
        <v>42985</v>
      </c>
      <c r="AK430" t="s">
        <v>1038</v>
      </c>
    </row>
    <row r="431" spans="32:37" x14ac:dyDescent="0.3">
      <c r="AF431" s="14" t="s">
        <v>700</v>
      </c>
      <c r="AG431" s="14"/>
      <c r="AH431" t="s">
        <v>766</v>
      </c>
      <c r="AI431" t="s">
        <v>258</v>
      </c>
      <c r="AJ431">
        <v>42635</v>
      </c>
      <c r="AK431" t="s">
        <v>1041</v>
      </c>
    </row>
    <row r="432" spans="32:37" x14ac:dyDescent="0.3">
      <c r="AF432" s="14" t="s">
        <v>873</v>
      </c>
      <c r="AG432" s="14"/>
      <c r="AH432" t="s">
        <v>767</v>
      </c>
      <c r="AI432" t="s">
        <v>516</v>
      </c>
      <c r="AJ432">
        <v>42540</v>
      </c>
      <c r="AK432" t="s">
        <v>1041</v>
      </c>
    </row>
    <row r="433" spans="32:37" x14ac:dyDescent="0.3">
      <c r="AF433" s="14" t="s">
        <v>732</v>
      </c>
      <c r="AG433" s="14"/>
      <c r="AH433" t="s">
        <v>768</v>
      </c>
      <c r="AI433" t="s">
        <v>240</v>
      </c>
      <c r="AJ433">
        <v>41564</v>
      </c>
      <c r="AK433" t="s">
        <v>1047</v>
      </c>
    </row>
    <row r="434" spans="32:37" x14ac:dyDescent="0.3">
      <c r="AF434" s="14" t="s">
        <v>521</v>
      </c>
      <c r="AG434" s="14"/>
      <c r="AH434" t="s">
        <v>769</v>
      </c>
      <c r="AI434" t="s">
        <v>258</v>
      </c>
      <c r="AJ434">
        <v>42542</v>
      </c>
      <c r="AK434" t="s">
        <v>1041</v>
      </c>
    </row>
    <row r="435" spans="32:37" x14ac:dyDescent="0.3">
      <c r="AF435" s="14" t="s">
        <v>741</v>
      </c>
      <c r="AG435" s="14"/>
      <c r="AH435" t="s">
        <v>770</v>
      </c>
      <c r="AI435" t="s">
        <v>771</v>
      </c>
      <c r="AJ435">
        <v>41532</v>
      </c>
      <c r="AK435" t="s">
        <v>1039</v>
      </c>
    </row>
    <row r="436" spans="32:37" x14ac:dyDescent="0.3">
      <c r="AF436" s="14" t="s">
        <v>714</v>
      </c>
      <c r="AG436" s="14"/>
      <c r="AH436" t="s">
        <v>772</v>
      </c>
      <c r="AI436" t="s">
        <v>343</v>
      </c>
      <c r="AJ436">
        <v>42369</v>
      </c>
      <c r="AK436" t="s">
        <v>1037</v>
      </c>
    </row>
    <row r="437" spans="32:37" x14ac:dyDescent="0.3">
      <c r="AF437" s="14" t="s">
        <v>550</v>
      </c>
      <c r="AG437" s="14"/>
      <c r="AH437" t="s">
        <v>773</v>
      </c>
      <c r="AI437" t="s">
        <v>516</v>
      </c>
      <c r="AJ437">
        <v>41362</v>
      </c>
      <c r="AK437" t="s">
        <v>1043</v>
      </c>
    </row>
    <row r="438" spans="32:37" x14ac:dyDescent="0.3">
      <c r="AF438" s="14" t="s">
        <v>834</v>
      </c>
      <c r="AG438" s="14"/>
      <c r="AH438" t="s">
        <v>774</v>
      </c>
      <c r="AI438" t="s">
        <v>243</v>
      </c>
      <c r="AJ438">
        <v>42642</v>
      </c>
      <c r="AK438" t="s">
        <v>1041</v>
      </c>
    </row>
    <row r="439" spans="32:37" x14ac:dyDescent="0.3">
      <c r="AF439" s="14" t="s">
        <v>1024</v>
      </c>
      <c r="AG439" s="14"/>
      <c r="AH439" t="s">
        <v>775</v>
      </c>
      <c r="AI439" t="s">
        <v>343</v>
      </c>
      <c r="AJ439">
        <v>42644</v>
      </c>
      <c r="AK439" t="s">
        <v>1037</v>
      </c>
    </row>
    <row r="440" spans="32:37" x14ac:dyDescent="0.3">
      <c r="AF440" s="14" t="s">
        <v>277</v>
      </c>
      <c r="AG440" s="14"/>
      <c r="AH440" t="s">
        <v>776</v>
      </c>
      <c r="AI440" t="s">
        <v>519</v>
      </c>
      <c r="AJ440">
        <v>41730</v>
      </c>
      <c r="AK440" t="s">
        <v>1042</v>
      </c>
    </row>
    <row r="441" spans="32:37" x14ac:dyDescent="0.3">
      <c r="AF441" s="14" t="s">
        <v>315</v>
      </c>
      <c r="AG441" s="14"/>
      <c r="AH441" t="s">
        <v>777</v>
      </c>
      <c r="AI441" t="s">
        <v>258</v>
      </c>
      <c r="AJ441">
        <v>42637</v>
      </c>
      <c r="AK441" t="s">
        <v>1041</v>
      </c>
    </row>
    <row r="442" spans="32:37" x14ac:dyDescent="0.3">
      <c r="AF442" s="14" t="s">
        <v>377</v>
      </c>
      <c r="AG442" s="14"/>
      <c r="AH442" t="s">
        <v>778</v>
      </c>
      <c r="AI442" t="s">
        <v>779</v>
      </c>
      <c r="AJ442">
        <v>43558</v>
      </c>
      <c r="AK442" t="s">
        <v>1038</v>
      </c>
    </row>
    <row r="443" spans="32:37" x14ac:dyDescent="0.3">
      <c r="AF443" s="14" t="s">
        <v>347</v>
      </c>
      <c r="AG443" s="14"/>
      <c r="AH443" t="s">
        <v>780</v>
      </c>
      <c r="AI443" t="s">
        <v>263</v>
      </c>
      <c r="AJ443">
        <v>43007</v>
      </c>
      <c r="AK443" t="s">
        <v>1035</v>
      </c>
    </row>
    <row r="444" spans="32:37" x14ac:dyDescent="0.3">
      <c r="AF444" s="14" t="s">
        <v>418</v>
      </c>
      <c r="AG444" s="14"/>
      <c r="AH444" t="s">
        <v>781</v>
      </c>
      <c r="AI444" t="s">
        <v>343</v>
      </c>
      <c r="AJ444">
        <v>42671</v>
      </c>
      <c r="AK444" t="s">
        <v>1037</v>
      </c>
    </row>
    <row r="445" spans="32:37" x14ac:dyDescent="0.3">
      <c r="AF445" s="14" t="s">
        <v>252</v>
      </c>
      <c r="AG445" s="14"/>
      <c r="AH445" t="s">
        <v>782</v>
      </c>
      <c r="AI445" t="s">
        <v>343</v>
      </c>
      <c r="AJ445">
        <v>42917</v>
      </c>
      <c r="AK445" t="s">
        <v>1037</v>
      </c>
    </row>
    <row r="446" spans="32:37" x14ac:dyDescent="0.3">
      <c r="AF446" s="14" t="s">
        <v>359</v>
      </c>
      <c r="AG446" s="14"/>
      <c r="AH446" t="s">
        <v>783</v>
      </c>
      <c r="AI446" t="s">
        <v>512</v>
      </c>
      <c r="AJ446">
        <v>41226</v>
      </c>
      <c r="AK446" t="s">
        <v>1035</v>
      </c>
    </row>
    <row r="447" spans="32:37" x14ac:dyDescent="0.3">
      <c r="AF447" s="14" t="s">
        <v>254</v>
      </c>
      <c r="AG447" s="14"/>
      <c r="AH447" t="s">
        <v>784</v>
      </c>
      <c r="AI447" t="s">
        <v>243</v>
      </c>
      <c r="AJ447">
        <v>43738</v>
      </c>
      <c r="AK447" t="s">
        <v>1034</v>
      </c>
    </row>
    <row r="448" spans="32:37" x14ac:dyDescent="0.3">
      <c r="AF448" s="14" t="s">
        <v>354</v>
      </c>
      <c r="AG448" s="14"/>
      <c r="AH448" t="s">
        <v>785</v>
      </c>
      <c r="AI448" t="s">
        <v>284</v>
      </c>
      <c r="AJ448">
        <v>43720</v>
      </c>
      <c r="AK448" t="s">
        <v>1038</v>
      </c>
    </row>
    <row r="449" spans="32:37" x14ac:dyDescent="0.3">
      <c r="AF449" s="14" t="s">
        <v>573</v>
      </c>
      <c r="AG449" s="14"/>
      <c r="AH449" t="s">
        <v>786</v>
      </c>
      <c r="AI449" t="s">
        <v>590</v>
      </c>
      <c r="AJ449">
        <v>41627</v>
      </c>
      <c r="AK449" t="s">
        <v>1035</v>
      </c>
    </row>
    <row r="450" spans="32:37" x14ac:dyDescent="0.3">
      <c r="AF450" s="14" t="s">
        <v>424</v>
      </c>
      <c r="AG450" s="14"/>
      <c r="AH450" t="s">
        <v>787</v>
      </c>
      <c r="AI450" t="s">
        <v>240</v>
      </c>
      <c r="AJ450">
        <v>41078</v>
      </c>
      <c r="AK450" t="s">
        <v>1047</v>
      </c>
    </row>
    <row r="451" spans="32:37" x14ac:dyDescent="0.3">
      <c r="AF451" s="14" t="s">
        <v>288</v>
      </c>
      <c r="AG451" s="14"/>
      <c r="AH451" t="s">
        <v>788</v>
      </c>
      <c r="AI451" t="s">
        <v>516</v>
      </c>
      <c r="AJ451">
        <v>41349</v>
      </c>
      <c r="AK451" t="s">
        <v>1043</v>
      </c>
    </row>
    <row r="452" spans="32:37" x14ac:dyDescent="0.3">
      <c r="AF452" s="14" t="s">
        <v>340</v>
      </c>
      <c r="AG452" s="14"/>
      <c r="AH452" t="s">
        <v>789</v>
      </c>
      <c r="AI452" t="s">
        <v>258</v>
      </c>
      <c r="AJ452">
        <v>42063</v>
      </c>
      <c r="AK452" t="s">
        <v>1044</v>
      </c>
    </row>
    <row r="453" spans="32:37" x14ac:dyDescent="0.3">
      <c r="AF453" s="14" t="s">
        <v>372</v>
      </c>
      <c r="AG453" s="14"/>
      <c r="AH453" t="s">
        <v>790</v>
      </c>
      <c r="AI453" t="s">
        <v>687</v>
      </c>
      <c r="AJ453">
        <v>42435</v>
      </c>
      <c r="AK453" t="s">
        <v>1039</v>
      </c>
    </row>
    <row r="454" spans="32:37" x14ac:dyDescent="0.3">
      <c r="AF454" s="14" t="s">
        <v>379</v>
      </c>
      <c r="AG454" s="14"/>
      <c r="AH454" t="s">
        <v>791</v>
      </c>
      <c r="AI454" t="s">
        <v>792</v>
      </c>
      <c r="AJ454">
        <v>41668</v>
      </c>
      <c r="AK454" t="s">
        <v>1035</v>
      </c>
    </row>
    <row r="455" spans="32:37" x14ac:dyDescent="0.3">
      <c r="AF455" s="14" t="s">
        <v>314</v>
      </c>
      <c r="AG455" s="14"/>
      <c r="AH455" t="s">
        <v>793</v>
      </c>
      <c r="AI455" t="s">
        <v>794</v>
      </c>
      <c r="AJ455">
        <v>42358</v>
      </c>
      <c r="AK455" t="s">
        <v>1039</v>
      </c>
    </row>
    <row r="456" spans="32:37" x14ac:dyDescent="0.3">
      <c r="AF456" s="14" t="s">
        <v>346</v>
      </c>
      <c r="AG456" s="14"/>
      <c r="AH456" t="s">
        <v>795</v>
      </c>
      <c r="AI456" t="s">
        <v>240</v>
      </c>
      <c r="AJ456">
        <v>41599</v>
      </c>
      <c r="AK456" t="s">
        <v>1047</v>
      </c>
    </row>
    <row r="457" spans="32:37" x14ac:dyDescent="0.3">
      <c r="AF457" s="14" t="s">
        <v>537</v>
      </c>
      <c r="AG457" s="14"/>
      <c r="AH457" t="s">
        <v>796</v>
      </c>
      <c r="AI457" t="s">
        <v>516</v>
      </c>
      <c r="AJ457">
        <v>40710.455555555556</v>
      </c>
      <c r="AK457" t="s">
        <v>1046</v>
      </c>
    </row>
    <row r="458" spans="32:37" x14ac:dyDescent="0.3">
      <c r="AF458" s="14" t="s">
        <v>398</v>
      </c>
      <c r="AG458" s="14"/>
      <c r="AH458" t="s">
        <v>797</v>
      </c>
      <c r="AI458" t="s">
        <v>516</v>
      </c>
      <c r="AJ458">
        <v>40856</v>
      </c>
      <c r="AK458" t="s">
        <v>1046</v>
      </c>
    </row>
    <row r="459" spans="32:37" x14ac:dyDescent="0.3">
      <c r="AF459" s="14" t="s">
        <v>358</v>
      </c>
      <c r="AG459" s="14"/>
      <c r="AH459" t="s">
        <v>798</v>
      </c>
      <c r="AI459" t="s">
        <v>516</v>
      </c>
      <c r="AJ459">
        <v>41442</v>
      </c>
      <c r="AK459" t="s">
        <v>1043</v>
      </c>
    </row>
    <row r="460" spans="32:37" x14ac:dyDescent="0.3">
      <c r="AF460" s="14" t="s">
        <v>256</v>
      </c>
      <c r="AG460" s="14"/>
      <c r="AH460" t="s">
        <v>799</v>
      </c>
      <c r="AI460" t="s">
        <v>343</v>
      </c>
      <c r="AJ460">
        <v>42826</v>
      </c>
      <c r="AK460" t="s">
        <v>1037</v>
      </c>
    </row>
    <row r="461" spans="32:37" x14ac:dyDescent="0.3">
      <c r="AF461" s="14" t="s">
        <v>449</v>
      </c>
      <c r="AG461" s="14"/>
      <c r="AH461" t="s">
        <v>800</v>
      </c>
      <c r="AI461" t="s">
        <v>258</v>
      </c>
      <c r="AJ461">
        <v>42110</v>
      </c>
      <c r="AK461" t="s">
        <v>1044</v>
      </c>
    </row>
    <row r="462" spans="32:37" x14ac:dyDescent="0.3">
      <c r="AF462" s="14" t="s">
        <v>307</v>
      </c>
      <c r="AG462" s="14"/>
      <c r="AH462" t="s">
        <v>801</v>
      </c>
      <c r="AI462" t="s">
        <v>802</v>
      </c>
      <c r="AJ462">
        <v>43373</v>
      </c>
      <c r="AK462" t="s">
        <v>1037</v>
      </c>
    </row>
    <row r="463" spans="32:37" x14ac:dyDescent="0.3">
      <c r="AF463" s="14" t="s">
        <v>784</v>
      </c>
      <c r="AG463" s="14"/>
      <c r="AH463" t="s">
        <v>803</v>
      </c>
      <c r="AI463" t="s">
        <v>258</v>
      </c>
      <c r="AJ463">
        <v>42125</v>
      </c>
      <c r="AK463" t="s">
        <v>1044</v>
      </c>
    </row>
    <row r="464" spans="32:37" x14ac:dyDescent="0.3">
      <c r="AF464" s="14" t="s">
        <v>475</v>
      </c>
      <c r="AG464" s="14"/>
      <c r="AH464" t="s">
        <v>804</v>
      </c>
      <c r="AI464" t="s">
        <v>805</v>
      </c>
      <c r="AJ464">
        <v>41264</v>
      </c>
      <c r="AK464" t="s">
        <v>1035</v>
      </c>
    </row>
    <row r="465" spans="32:37" x14ac:dyDescent="0.3">
      <c r="AF465" s="14" t="s">
        <v>255</v>
      </c>
      <c r="AG465" s="14"/>
      <c r="AH465" t="s">
        <v>806</v>
      </c>
      <c r="AI465" t="s">
        <v>343</v>
      </c>
      <c r="AJ465">
        <v>42137</v>
      </c>
      <c r="AK465" t="s">
        <v>1044</v>
      </c>
    </row>
    <row r="466" spans="32:37" x14ac:dyDescent="0.3">
      <c r="AF466" s="14" t="s">
        <v>341</v>
      </c>
      <c r="AG466" s="14"/>
      <c r="AH466" t="s">
        <v>807</v>
      </c>
      <c r="AI466" t="s">
        <v>258</v>
      </c>
      <c r="AJ466">
        <v>42140</v>
      </c>
      <c r="AK466" t="s">
        <v>1044</v>
      </c>
    </row>
    <row r="467" spans="32:37" x14ac:dyDescent="0.3">
      <c r="AF467" s="14" t="s">
        <v>296</v>
      </c>
      <c r="AG467" s="14"/>
      <c r="AH467" t="s">
        <v>808</v>
      </c>
      <c r="AI467" t="s">
        <v>343</v>
      </c>
      <c r="AJ467">
        <v>42369</v>
      </c>
      <c r="AK467" t="s">
        <v>1037</v>
      </c>
    </row>
    <row r="468" spans="32:37" x14ac:dyDescent="0.3">
      <c r="AF468" s="14" t="s">
        <v>765</v>
      </c>
      <c r="AG468" s="14"/>
      <c r="AH468" t="s">
        <v>809</v>
      </c>
      <c r="AI468" t="s">
        <v>258</v>
      </c>
      <c r="AJ468">
        <v>42141</v>
      </c>
      <c r="AK468" t="s">
        <v>1044</v>
      </c>
    </row>
    <row r="469" spans="32:37" x14ac:dyDescent="0.3">
      <c r="AF469" s="14" t="s">
        <v>1025</v>
      </c>
      <c r="AG469" s="14"/>
      <c r="AH469" t="s">
        <v>810</v>
      </c>
      <c r="AI469" t="s">
        <v>811</v>
      </c>
      <c r="AJ469">
        <v>41089</v>
      </c>
      <c r="AK469" t="s">
        <v>1035</v>
      </c>
    </row>
    <row r="470" spans="32:37" x14ac:dyDescent="0.3">
      <c r="AF470" s="14" t="s">
        <v>526</v>
      </c>
      <c r="AG470" s="14"/>
      <c r="AH470" t="s">
        <v>812</v>
      </c>
      <c r="AI470" t="s">
        <v>258</v>
      </c>
      <c r="AJ470">
        <v>42141</v>
      </c>
      <c r="AK470" t="s">
        <v>1044</v>
      </c>
    </row>
    <row r="471" spans="32:37" x14ac:dyDescent="0.3">
      <c r="AF471" s="14" t="s">
        <v>242</v>
      </c>
      <c r="AG471" s="14"/>
      <c r="AH471" t="s">
        <v>813</v>
      </c>
      <c r="AI471" t="s">
        <v>258</v>
      </c>
      <c r="AJ471">
        <v>42141</v>
      </c>
      <c r="AK471" t="s">
        <v>1044</v>
      </c>
    </row>
    <row r="472" spans="32:37" x14ac:dyDescent="0.3">
      <c r="AF472" s="14" t="s">
        <v>898</v>
      </c>
      <c r="AG472" s="14"/>
      <c r="AH472" t="s">
        <v>814</v>
      </c>
      <c r="AI472" t="s">
        <v>258</v>
      </c>
      <c r="AJ472">
        <v>42441</v>
      </c>
      <c r="AK472" t="s">
        <v>1041</v>
      </c>
    </row>
    <row r="473" spans="32:37" x14ac:dyDescent="0.3">
      <c r="AF473" s="14" t="s">
        <v>633</v>
      </c>
      <c r="AG473" s="14"/>
      <c r="AH473" t="s">
        <v>815</v>
      </c>
      <c r="AI473" t="s">
        <v>352</v>
      </c>
      <c r="AJ473">
        <v>41180</v>
      </c>
      <c r="AK473" t="s">
        <v>1035</v>
      </c>
    </row>
    <row r="474" spans="32:37" x14ac:dyDescent="0.3">
      <c r="AF474" s="14" t="s">
        <v>561</v>
      </c>
      <c r="AG474" s="14"/>
      <c r="AH474" t="s">
        <v>816</v>
      </c>
      <c r="AI474" t="s">
        <v>258</v>
      </c>
      <c r="AJ474">
        <v>42167</v>
      </c>
      <c r="AK474" t="s">
        <v>1044</v>
      </c>
    </row>
    <row r="475" spans="32:37" x14ac:dyDescent="0.3">
      <c r="AF475" s="14" t="s">
        <v>653</v>
      </c>
      <c r="AG475" s="14"/>
      <c r="AH475" t="s">
        <v>817</v>
      </c>
      <c r="AI475" t="s">
        <v>258</v>
      </c>
      <c r="AJ475">
        <v>43281</v>
      </c>
      <c r="AK475" t="s">
        <v>1038</v>
      </c>
    </row>
    <row r="476" spans="32:37" x14ac:dyDescent="0.3">
      <c r="AF476" s="14" t="s">
        <v>1010</v>
      </c>
      <c r="AG476" s="14"/>
      <c r="AH476" t="s">
        <v>818</v>
      </c>
      <c r="AI476" t="s">
        <v>258</v>
      </c>
      <c r="AJ476">
        <v>42171</v>
      </c>
      <c r="AK476" t="s">
        <v>1044</v>
      </c>
    </row>
    <row r="477" spans="32:37" x14ac:dyDescent="0.3">
      <c r="AF477" s="14" t="s">
        <v>774</v>
      </c>
      <c r="AG477" s="14"/>
      <c r="AH477" t="s">
        <v>819</v>
      </c>
      <c r="AI477" t="s">
        <v>516</v>
      </c>
      <c r="AJ477">
        <v>42544</v>
      </c>
      <c r="AK477" t="s">
        <v>1041</v>
      </c>
    </row>
    <row r="478" spans="32:37" x14ac:dyDescent="0.3">
      <c r="AF478" s="14" t="s">
        <v>538</v>
      </c>
      <c r="AG478" s="14"/>
      <c r="AH478" t="s">
        <v>820</v>
      </c>
      <c r="AI478" t="s">
        <v>258</v>
      </c>
      <c r="AJ478">
        <v>43545</v>
      </c>
      <c r="AK478" t="s">
        <v>1038</v>
      </c>
    </row>
    <row r="479" spans="32:37" x14ac:dyDescent="0.3">
      <c r="AF479" s="14" t="s">
        <v>547</v>
      </c>
      <c r="AG479" s="14"/>
      <c r="AH479" t="s">
        <v>821</v>
      </c>
      <c r="AI479" t="s">
        <v>516</v>
      </c>
      <c r="AJ479">
        <v>40138</v>
      </c>
      <c r="AK479" t="s">
        <v>1035</v>
      </c>
    </row>
    <row r="480" spans="32:37" x14ac:dyDescent="0.3">
      <c r="AF480" s="14" t="s">
        <v>953</v>
      </c>
      <c r="AG480" s="14"/>
      <c r="AH480" t="s">
        <v>822</v>
      </c>
      <c r="AI480" t="s">
        <v>500</v>
      </c>
      <c r="AJ480">
        <v>42634</v>
      </c>
      <c r="AK480" t="s">
        <v>1039</v>
      </c>
    </row>
    <row r="481" spans="32:37" x14ac:dyDescent="0.3">
      <c r="AF481" s="14" t="s">
        <v>1016</v>
      </c>
      <c r="AG481" s="14"/>
      <c r="AH481" t="s">
        <v>823</v>
      </c>
      <c r="AI481" t="s">
        <v>824</v>
      </c>
      <c r="AJ481">
        <v>42177</v>
      </c>
      <c r="AK481" t="s">
        <v>1045</v>
      </c>
    </row>
    <row r="482" spans="32:37" x14ac:dyDescent="0.3">
      <c r="AF482" s="14" t="s">
        <v>745</v>
      </c>
      <c r="AG482" s="14"/>
      <c r="AH482" t="s">
        <v>825</v>
      </c>
      <c r="AI482" t="s">
        <v>258</v>
      </c>
      <c r="AJ482">
        <v>42489</v>
      </c>
      <c r="AK482" t="s">
        <v>1041</v>
      </c>
    </row>
    <row r="483" spans="32:37" x14ac:dyDescent="0.3">
      <c r="AF483" s="14" t="s">
        <v>692</v>
      </c>
      <c r="AG483" s="14"/>
      <c r="AH483" t="s">
        <v>826</v>
      </c>
      <c r="AI483" t="s">
        <v>258</v>
      </c>
      <c r="AJ483">
        <v>42178</v>
      </c>
      <c r="AK483" t="s">
        <v>1044</v>
      </c>
    </row>
    <row r="484" spans="32:37" x14ac:dyDescent="0.3">
      <c r="AF484" s="14" t="s">
        <v>930</v>
      </c>
      <c r="AG484" s="14"/>
      <c r="AH484" t="s">
        <v>827</v>
      </c>
      <c r="AI484" t="s">
        <v>258</v>
      </c>
      <c r="AJ484">
        <v>42181</v>
      </c>
      <c r="AK484" t="s">
        <v>1044</v>
      </c>
    </row>
    <row r="485" spans="32:37" x14ac:dyDescent="0.3">
      <c r="AF485" s="14" t="s">
        <v>778</v>
      </c>
      <c r="AG485" s="14"/>
      <c r="AH485" t="s">
        <v>828</v>
      </c>
      <c r="AI485" t="s">
        <v>284</v>
      </c>
      <c r="AJ485">
        <v>43281</v>
      </c>
      <c r="AK485" t="s">
        <v>1038</v>
      </c>
    </row>
    <row r="486" spans="32:37" x14ac:dyDescent="0.3">
      <c r="AF486" s="14" t="s">
        <v>756</v>
      </c>
      <c r="AG486" s="14"/>
      <c r="AH486" t="s">
        <v>829</v>
      </c>
      <c r="AI486" t="s">
        <v>258</v>
      </c>
      <c r="AJ486">
        <v>42182</v>
      </c>
      <c r="AK486" t="s">
        <v>1044</v>
      </c>
    </row>
    <row r="487" spans="32:37" x14ac:dyDescent="0.3">
      <c r="AF487" s="14" t="s">
        <v>665</v>
      </c>
      <c r="AG487" s="14"/>
      <c r="AH487" t="s">
        <v>830</v>
      </c>
      <c r="AI487" t="s">
        <v>258</v>
      </c>
      <c r="AJ487">
        <v>42188</v>
      </c>
      <c r="AK487" t="s">
        <v>1044</v>
      </c>
    </row>
    <row r="488" spans="32:37" x14ac:dyDescent="0.3">
      <c r="AF488" s="14" t="s">
        <v>467</v>
      </c>
      <c r="AG488" s="14"/>
      <c r="AH488" t="s">
        <v>831</v>
      </c>
      <c r="AI488" t="s">
        <v>258</v>
      </c>
      <c r="AJ488">
        <v>42460</v>
      </c>
      <c r="AK488" t="s">
        <v>1041</v>
      </c>
    </row>
    <row r="489" spans="32:37" x14ac:dyDescent="0.3">
      <c r="AF489" s="14" t="s">
        <v>752</v>
      </c>
      <c r="AG489" s="14"/>
      <c r="AH489" t="s">
        <v>832</v>
      </c>
      <c r="AI489" t="s">
        <v>516</v>
      </c>
      <c r="AJ489">
        <v>40815</v>
      </c>
      <c r="AK489" t="s">
        <v>1046</v>
      </c>
    </row>
    <row r="490" spans="32:37" x14ac:dyDescent="0.3">
      <c r="AF490" s="14" t="s">
        <v>719</v>
      </c>
      <c r="AG490" s="14"/>
      <c r="AH490" t="s">
        <v>833</v>
      </c>
      <c r="AI490" t="s">
        <v>343</v>
      </c>
      <c r="AJ490">
        <v>42209</v>
      </c>
      <c r="AK490" t="s">
        <v>1044</v>
      </c>
    </row>
    <row r="491" spans="32:37" x14ac:dyDescent="0.3">
      <c r="AF491" s="14" t="s">
        <v>483</v>
      </c>
      <c r="AG491" s="14"/>
      <c r="AH491" t="s">
        <v>834</v>
      </c>
      <c r="AI491" t="s">
        <v>835</v>
      </c>
      <c r="AJ491">
        <v>41544</v>
      </c>
      <c r="AK491" t="s">
        <v>1039</v>
      </c>
    </row>
    <row r="492" spans="32:37" x14ac:dyDescent="0.3">
      <c r="AF492" s="14" t="s">
        <v>644</v>
      </c>
      <c r="AG492" s="14"/>
      <c r="AH492" t="s">
        <v>836</v>
      </c>
      <c r="AI492" t="s">
        <v>258</v>
      </c>
      <c r="AJ492">
        <v>42353</v>
      </c>
      <c r="AK492" t="s">
        <v>1041</v>
      </c>
    </row>
    <row r="493" spans="32:37" x14ac:dyDescent="0.3">
      <c r="AF493" s="14" t="s">
        <v>984</v>
      </c>
      <c r="AG493" s="14"/>
      <c r="AH493" t="s">
        <v>837</v>
      </c>
      <c r="AI493" t="s">
        <v>516</v>
      </c>
      <c r="AJ493">
        <v>42420</v>
      </c>
      <c r="AK493" t="s">
        <v>1041</v>
      </c>
    </row>
    <row r="494" spans="32:37" x14ac:dyDescent="0.3">
      <c r="AF494" s="14" t="s">
        <v>357</v>
      </c>
      <c r="AG494" s="14"/>
      <c r="AH494" t="s">
        <v>838</v>
      </c>
      <c r="AI494" t="s">
        <v>839</v>
      </c>
      <c r="AJ494">
        <v>41463</v>
      </c>
      <c r="AK494" t="s">
        <v>1035</v>
      </c>
    </row>
    <row r="495" spans="32:37" x14ac:dyDescent="0.3">
      <c r="AF495" s="14" t="s">
        <v>329</v>
      </c>
      <c r="AG495" s="14"/>
      <c r="AH495" t="s">
        <v>840</v>
      </c>
      <c r="AI495" t="s">
        <v>343</v>
      </c>
      <c r="AJ495">
        <v>42600</v>
      </c>
      <c r="AK495" t="s">
        <v>1037</v>
      </c>
    </row>
    <row r="496" spans="32:37" x14ac:dyDescent="0.3">
      <c r="AF496" s="14" t="s">
        <v>385</v>
      </c>
      <c r="AG496" s="14"/>
      <c r="AH496" t="s">
        <v>841</v>
      </c>
      <c r="AI496" t="s">
        <v>258</v>
      </c>
      <c r="AJ496">
        <v>42197</v>
      </c>
      <c r="AK496" t="s">
        <v>1044</v>
      </c>
    </row>
    <row r="497" spans="32:37" x14ac:dyDescent="0.3">
      <c r="AF497" s="14" t="s">
        <v>426</v>
      </c>
      <c r="AG497" s="14"/>
      <c r="AH497" t="s">
        <v>842</v>
      </c>
      <c r="AI497" t="s">
        <v>516</v>
      </c>
      <c r="AJ497">
        <v>42277</v>
      </c>
      <c r="AK497" t="s">
        <v>1041</v>
      </c>
    </row>
    <row r="498" spans="32:37" x14ac:dyDescent="0.3">
      <c r="AF498" s="14" t="s">
        <v>388</v>
      </c>
      <c r="AG498" s="14"/>
      <c r="AH498" t="s">
        <v>843</v>
      </c>
      <c r="AI498" t="s">
        <v>343</v>
      </c>
      <c r="AJ498">
        <v>42263</v>
      </c>
      <c r="AK498" t="s">
        <v>1044</v>
      </c>
    </row>
    <row r="499" spans="32:37" x14ac:dyDescent="0.3">
      <c r="AF499" s="14" t="s">
        <v>432</v>
      </c>
      <c r="AG499" s="14"/>
      <c r="AH499" t="s">
        <v>844</v>
      </c>
      <c r="AI499" t="s">
        <v>516</v>
      </c>
      <c r="AJ499">
        <v>40542.517361111109</v>
      </c>
      <c r="AK499" t="s">
        <v>1046</v>
      </c>
    </row>
    <row r="500" spans="32:37" x14ac:dyDescent="0.3">
      <c r="AF500" s="14" t="s">
        <v>613</v>
      </c>
      <c r="AG500" s="14"/>
      <c r="AH500" t="s">
        <v>845</v>
      </c>
      <c r="AI500" t="s">
        <v>258</v>
      </c>
      <c r="AJ500">
        <v>42593</v>
      </c>
      <c r="AK500" t="s">
        <v>1041</v>
      </c>
    </row>
    <row r="501" spans="32:37" x14ac:dyDescent="0.3">
      <c r="AF501" s="14" t="s">
        <v>499</v>
      </c>
      <c r="AG501" s="14"/>
      <c r="AH501" t="s">
        <v>846</v>
      </c>
      <c r="AI501" t="s">
        <v>516</v>
      </c>
      <c r="AJ501">
        <v>42277</v>
      </c>
      <c r="AK501" t="s">
        <v>1041</v>
      </c>
    </row>
    <row r="502" spans="32:37" x14ac:dyDescent="0.3">
      <c r="AF502" s="14" t="s">
        <v>822</v>
      </c>
      <c r="AG502" s="14"/>
      <c r="AH502" t="s">
        <v>847</v>
      </c>
      <c r="AI502" t="s">
        <v>516</v>
      </c>
      <c r="AJ502">
        <v>41711</v>
      </c>
      <c r="AK502" t="s">
        <v>1035</v>
      </c>
    </row>
    <row r="503" spans="32:37" x14ac:dyDescent="0.3">
      <c r="AF503" s="14" t="s">
        <v>660</v>
      </c>
      <c r="AG503" s="14"/>
      <c r="AH503" t="s">
        <v>848</v>
      </c>
      <c r="AI503" t="s">
        <v>258</v>
      </c>
      <c r="AJ503">
        <v>42307</v>
      </c>
      <c r="AK503" t="s">
        <v>1041</v>
      </c>
    </row>
    <row r="504" spans="32:37" x14ac:dyDescent="0.3">
      <c r="AF504" s="14" t="s">
        <v>889</v>
      </c>
      <c r="AG504" s="14"/>
      <c r="AH504" t="s">
        <v>849</v>
      </c>
      <c r="AI504" t="s">
        <v>258</v>
      </c>
      <c r="AJ504">
        <v>42307</v>
      </c>
      <c r="AK504" t="s">
        <v>1041</v>
      </c>
    </row>
    <row r="505" spans="32:37" x14ac:dyDescent="0.3">
      <c r="AF505" s="14" t="s">
        <v>299</v>
      </c>
      <c r="AG505" s="14"/>
      <c r="AH505" t="s">
        <v>850</v>
      </c>
      <c r="AI505" t="s">
        <v>312</v>
      </c>
      <c r="AJ505">
        <v>43088</v>
      </c>
      <c r="AK505" t="s">
        <v>1038</v>
      </c>
    </row>
    <row r="506" spans="32:37" x14ac:dyDescent="0.3">
      <c r="AF506" s="14" t="s">
        <v>291</v>
      </c>
      <c r="AG506" s="14"/>
      <c r="AH506" t="s">
        <v>851</v>
      </c>
      <c r="AI506" t="s">
        <v>258</v>
      </c>
      <c r="AJ506">
        <v>42518</v>
      </c>
      <c r="AK506" t="s">
        <v>1041</v>
      </c>
    </row>
    <row r="507" spans="32:37" x14ac:dyDescent="0.3">
      <c r="AF507" s="14" t="s">
        <v>298</v>
      </c>
      <c r="AG507" s="14"/>
      <c r="AH507" t="s">
        <v>852</v>
      </c>
      <c r="AI507" t="s">
        <v>611</v>
      </c>
      <c r="AJ507">
        <v>43554</v>
      </c>
      <c r="AK507" t="s">
        <v>1038</v>
      </c>
    </row>
    <row r="508" spans="32:37" x14ac:dyDescent="0.3">
      <c r="AF508" s="14" t="s">
        <v>297</v>
      </c>
      <c r="AG508" s="14"/>
      <c r="AH508" t="s">
        <v>853</v>
      </c>
      <c r="AI508" t="s">
        <v>516</v>
      </c>
      <c r="AJ508">
        <v>42308</v>
      </c>
      <c r="AK508" t="s">
        <v>1041</v>
      </c>
    </row>
    <row r="509" spans="32:37" x14ac:dyDescent="0.3">
      <c r="AF509" s="14" t="s">
        <v>534</v>
      </c>
      <c r="AG509" s="14"/>
      <c r="AH509" t="s">
        <v>854</v>
      </c>
      <c r="AI509" t="s">
        <v>519</v>
      </c>
      <c r="AJ509">
        <v>41816</v>
      </c>
      <c r="AK509" t="s">
        <v>1042</v>
      </c>
    </row>
    <row r="510" spans="32:37" x14ac:dyDescent="0.3">
      <c r="AF510" s="14" t="s">
        <v>461</v>
      </c>
      <c r="AG510" s="14"/>
      <c r="AH510" t="s">
        <v>855</v>
      </c>
      <c r="AI510" t="s">
        <v>516</v>
      </c>
      <c r="AJ510">
        <v>42308</v>
      </c>
      <c r="AK510" t="s">
        <v>1041</v>
      </c>
    </row>
    <row r="511" spans="32:37" x14ac:dyDescent="0.3">
      <c r="AF511" s="14" t="s">
        <v>881</v>
      </c>
      <c r="AG511" s="14"/>
      <c r="AH511" t="s">
        <v>856</v>
      </c>
      <c r="AI511" t="s">
        <v>258</v>
      </c>
      <c r="AJ511">
        <v>42321</v>
      </c>
      <c r="AK511" t="s">
        <v>1044</v>
      </c>
    </row>
    <row r="512" spans="32:37" x14ac:dyDescent="0.3">
      <c r="AF512" s="14" t="s">
        <v>1017</v>
      </c>
      <c r="AG512" s="14"/>
      <c r="AH512" t="s">
        <v>857</v>
      </c>
      <c r="AI512" t="s">
        <v>657</v>
      </c>
      <c r="AJ512">
        <v>43266</v>
      </c>
      <c r="AK512" t="s">
        <v>1037</v>
      </c>
    </row>
    <row r="513" spans="32:37" x14ac:dyDescent="0.3">
      <c r="AF513" s="14" t="s">
        <v>313</v>
      </c>
      <c r="AG513" s="14"/>
      <c r="AH513" t="s">
        <v>858</v>
      </c>
      <c r="AI513" t="s">
        <v>343</v>
      </c>
      <c r="AJ513">
        <v>42545</v>
      </c>
      <c r="AK513" t="s">
        <v>1037</v>
      </c>
    </row>
    <row r="514" spans="32:37" x14ac:dyDescent="0.3">
      <c r="AF514" s="14" t="s">
        <v>850</v>
      </c>
      <c r="AG514" s="14"/>
      <c r="AH514" t="s">
        <v>859</v>
      </c>
      <c r="AI514" t="s">
        <v>860</v>
      </c>
      <c r="AJ514">
        <v>43475</v>
      </c>
      <c r="AK514" t="s">
        <v>1038</v>
      </c>
    </row>
    <row r="515" spans="32:37" x14ac:dyDescent="0.3">
      <c r="AF515" s="14" t="s">
        <v>648</v>
      </c>
      <c r="AG515" s="14"/>
      <c r="AH515" t="s">
        <v>861</v>
      </c>
      <c r="AI515" t="s">
        <v>258</v>
      </c>
      <c r="AJ515">
        <v>42339</v>
      </c>
      <c r="AK515" t="s">
        <v>1041</v>
      </c>
    </row>
    <row r="516" spans="32:37" x14ac:dyDescent="0.3">
      <c r="AF516" s="14" t="s">
        <v>317</v>
      </c>
      <c r="AG516" s="14"/>
      <c r="AH516" t="s">
        <v>862</v>
      </c>
      <c r="AI516" t="s">
        <v>258</v>
      </c>
      <c r="AJ516">
        <v>42335</v>
      </c>
      <c r="AK516" t="s">
        <v>1044</v>
      </c>
    </row>
    <row r="517" spans="32:37" x14ac:dyDescent="0.3">
      <c r="AF517" s="14" t="s">
        <v>311</v>
      </c>
      <c r="AG517" s="14"/>
      <c r="AH517" t="s">
        <v>863</v>
      </c>
      <c r="AI517" t="s">
        <v>258</v>
      </c>
      <c r="AJ517">
        <v>42361</v>
      </c>
      <c r="AK517" t="s">
        <v>1041</v>
      </c>
    </row>
    <row r="518" spans="32:37" x14ac:dyDescent="0.3">
      <c r="AF518" s="14" t="s">
        <v>460</v>
      </c>
      <c r="AG518" s="14"/>
      <c r="AH518" t="s">
        <v>864</v>
      </c>
      <c r="AI518" t="s">
        <v>512</v>
      </c>
      <c r="AJ518">
        <v>41264</v>
      </c>
      <c r="AK518" t="s">
        <v>1035</v>
      </c>
    </row>
    <row r="519" spans="32:37" x14ac:dyDescent="0.3">
      <c r="AF519" s="14" t="s">
        <v>1000</v>
      </c>
      <c r="AG519" s="14"/>
      <c r="AH519" t="s">
        <v>865</v>
      </c>
      <c r="AI519" t="s">
        <v>263</v>
      </c>
      <c r="AJ519">
        <v>42369</v>
      </c>
      <c r="AK519" t="s">
        <v>1035</v>
      </c>
    </row>
    <row r="520" spans="32:37" x14ac:dyDescent="0.3">
      <c r="AF520" s="14" t="s">
        <v>300</v>
      </c>
      <c r="AG520" s="14"/>
      <c r="AH520" t="s">
        <v>866</v>
      </c>
      <c r="AI520" t="s">
        <v>867</v>
      </c>
      <c r="AJ520">
        <v>42530</v>
      </c>
      <c r="AK520" t="s">
        <v>1041</v>
      </c>
    </row>
    <row r="521" spans="32:37" x14ac:dyDescent="0.3">
      <c r="AF521" s="14" t="s">
        <v>928</v>
      </c>
      <c r="AG521" s="14"/>
      <c r="AH521" t="s">
        <v>868</v>
      </c>
      <c r="AI521" t="s">
        <v>516</v>
      </c>
      <c r="AJ521">
        <v>42570</v>
      </c>
      <c r="AK521" t="s">
        <v>1041</v>
      </c>
    </row>
    <row r="522" spans="32:37" x14ac:dyDescent="0.3">
      <c r="AF522" s="14" t="s">
        <v>452</v>
      </c>
      <c r="AG522" s="14"/>
      <c r="AH522" t="s">
        <v>869</v>
      </c>
      <c r="AI522" t="s">
        <v>258</v>
      </c>
      <c r="AJ522">
        <v>42437</v>
      </c>
      <c r="AK522" t="s">
        <v>1041</v>
      </c>
    </row>
    <row r="523" spans="32:37" x14ac:dyDescent="0.3">
      <c r="AF523" s="14" t="s">
        <v>649</v>
      </c>
      <c r="AG523" s="14"/>
      <c r="AH523" t="s">
        <v>870</v>
      </c>
      <c r="AI523" t="s">
        <v>258</v>
      </c>
      <c r="AJ523">
        <v>42398</v>
      </c>
      <c r="AK523" t="s">
        <v>1041</v>
      </c>
    </row>
    <row r="524" spans="32:37" x14ac:dyDescent="0.3">
      <c r="AF524" s="14" t="s">
        <v>635</v>
      </c>
      <c r="AG524" s="14"/>
      <c r="AH524" t="s">
        <v>871</v>
      </c>
      <c r="AI524" t="s">
        <v>258</v>
      </c>
      <c r="AJ524">
        <v>42348</v>
      </c>
      <c r="AK524" t="s">
        <v>1041</v>
      </c>
    </row>
    <row r="525" spans="32:37" x14ac:dyDescent="0.3">
      <c r="AF525" s="14" t="s">
        <v>760</v>
      </c>
      <c r="AG525" s="14"/>
      <c r="AH525" t="s">
        <v>872</v>
      </c>
      <c r="AI525" t="s">
        <v>445</v>
      </c>
      <c r="AJ525">
        <v>42003</v>
      </c>
      <c r="AK525" t="s">
        <v>1039</v>
      </c>
    </row>
    <row r="526" spans="32:37" x14ac:dyDescent="0.3">
      <c r="AF526" s="14" t="s">
        <v>689</v>
      </c>
      <c r="AG526" s="14"/>
      <c r="AH526" t="s">
        <v>873</v>
      </c>
      <c r="AI526" t="s">
        <v>874</v>
      </c>
      <c r="AJ526">
        <v>42355</v>
      </c>
      <c r="AK526" t="s">
        <v>1039</v>
      </c>
    </row>
    <row r="527" spans="32:37" x14ac:dyDescent="0.3">
      <c r="AF527" s="14" t="s">
        <v>883</v>
      </c>
      <c r="AG527" s="14"/>
      <c r="AH527" t="s">
        <v>875</v>
      </c>
      <c r="AI527" t="s">
        <v>258</v>
      </c>
      <c r="AJ527">
        <v>43280</v>
      </c>
      <c r="AK527" t="s">
        <v>1038</v>
      </c>
    </row>
    <row r="528" spans="32:37" x14ac:dyDescent="0.3">
      <c r="AF528" s="14" t="s">
        <v>414</v>
      </c>
      <c r="AG528" s="14"/>
      <c r="AH528" t="s">
        <v>876</v>
      </c>
      <c r="AI528" t="s">
        <v>343</v>
      </c>
      <c r="AJ528">
        <v>42369</v>
      </c>
      <c r="AK528" t="s">
        <v>1037</v>
      </c>
    </row>
    <row r="529" spans="32:37" x14ac:dyDescent="0.3">
      <c r="AF529" s="14" t="s">
        <v>523</v>
      </c>
      <c r="AG529" s="14"/>
      <c r="AH529" t="s">
        <v>877</v>
      </c>
      <c r="AI529" t="s">
        <v>363</v>
      </c>
      <c r="AJ529">
        <v>42674</v>
      </c>
      <c r="AK529" t="s">
        <v>1041</v>
      </c>
    </row>
    <row r="530" spans="32:37" x14ac:dyDescent="0.3">
      <c r="AF530" s="14" t="s">
        <v>968</v>
      </c>
      <c r="AG530" s="14"/>
      <c r="AH530" t="s">
        <v>878</v>
      </c>
      <c r="AI530" t="s">
        <v>343</v>
      </c>
      <c r="AJ530">
        <v>42369</v>
      </c>
      <c r="AK530" t="s">
        <v>1037</v>
      </c>
    </row>
    <row r="531" spans="32:37" x14ac:dyDescent="0.3">
      <c r="AF531" s="14" t="s">
        <v>485</v>
      </c>
      <c r="AG531" s="14"/>
      <c r="AH531" t="s">
        <v>879</v>
      </c>
      <c r="AI531" t="s">
        <v>880</v>
      </c>
      <c r="AJ531">
        <v>42369</v>
      </c>
      <c r="AK531" t="s">
        <v>1035</v>
      </c>
    </row>
    <row r="532" spans="32:37" x14ac:dyDescent="0.3">
      <c r="AF532" s="14" t="s">
        <v>416</v>
      </c>
      <c r="AG532" s="14"/>
      <c r="AH532" t="s">
        <v>881</v>
      </c>
      <c r="AI532" t="s">
        <v>312</v>
      </c>
      <c r="AJ532">
        <v>42490</v>
      </c>
      <c r="AK532" t="s">
        <v>1035</v>
      </c>
    </row>
    <row r="533" spans="32:37" x14ac:dyDescent="0.3">
      <c r="AF533" s="14" t="s">
        <v>558</v>
      </c>
      <c r="AG533" s="14"/>
      <c r="AH533" t="s">
        <v>882</v>
      </c>
      <c r="AI533" t="s">
        <v>860</v>
      </c>
      <c r="AJ533">
        <v>43475</v>
      </c>
      <c r="AK533" t="s">
        <v>1038</v>
      </c>
    </row>
    <row r="534" spans="32:37" x14ac:dyDescent="0.3">
      <c r="AF534" s="14" t="s">
        <v>399</v>
      </c>
      <c r="AG534" s="14"/>
      <c r="AH534" t="s">
        <v>883</v>
      </c>
      <c r="AI534" t="s">
        <v>415</v>
      </c>
      <c r="AJ534">
        <v>43369</v>
      </c>
      <c r="AK534" t="s">
        <v>1042</v>
      </c>
    </row>
    <row r="535" spans="32:37" x14ac:dyDescent="0.3">
      <c r="AF535" s="14" t="s">
        <v>791</v>
      </c>
      <c r="AG535" s="14"/>
      <c r="AH535" t="s">
        <v>884</v>
      </c>
      <c r="AI535" t="s">
        <v>258</v>
      </c>
      <c r="AJ535">
        <v>42322</v>
      </c>
      <c r="AK535" t="s">
        <v>1041</v>
      </c>
    </row>
    <row r="536" spans="32:37" x14ac:dyDescent="0.3">
      <c r="AF536" s="14" t="s">
        <v>269</v>
      </c>
      <c r="AG536" s="14"/>
      <c r="AH536" t="s">
        <v>885</v>
      </c>
      <c r="AI536" t="s">
        <v>258</v>
      </c>
      <c r="AJ536">
        <v>42369</v>
      </c>
      <c r="AK536" t="s">
        <v>1041</v>
      </c>
    </row>
    <row r="537" spans="32:37" x14ac:dyDescent="0.3">
      <c r="AF537" s="14" t="s">
        <v>684</v>
      </c>
      <c r="AG537" s="14"/>
      <c r="AH537" t="s">
        <v>886</v>
      </c>
      <c r="AI537" t="s">
        <v>258</v>
      </c>
      <c r="AJ537">
        <v>42369</v>
      </c>
      <c r="AK537" t="s">
        <v>1044</v>
      </c>
    </row>
    <row r="538" spans="32:37" x14ac:dyDescent="0.3">
      <c r="AF538" s="14" t="s">
        <v>241</v>
      </c>
      <c r="AG538" s="14"/>
      <c r="AH538" t="s">
        <v>887</v>
      </c>
      <c r="AI538" t="s">
        <v>258</v>
      </c>
      <c r="AJ538">
        <v>42385</v>
      </c>
      <c r="AK538" t="s">
        <v>1041</v>
      </c>
    </row>
    <row r="539" spans="32:37" x14ac:dyDescent="0.3">
      <c r="AF539" s="14" t="s">
        <v>413</v>
      </c>
      <c r="AG539" s="14"/>
      <c r="AH539" t="s">
        <v>888</v>
      </c>
      <c r="AI539" t="s">
        <v>258</v>
      </c>
      <c r="AJ539">
        <v>42550</v>
      </c>
      <c r="AK539" t="s">
        <v>1041</v>
      </c>
    </row>
    <row r="540" spans="32:37" x14ac:dyDescent="0.3">
      <c r="AF540" s="14" t="s">
        <v>253</v>
      </c>
      <c r="AG540" s="14"/>
      <c r="AH540" t="s">
        <v>889</v>
      </c>
      <c r="AI540" t="s">
        <v>890</v>
      </c>
      <c r="AJ540">
        <v>40772</v>
      </c>
      <c r="AK540" t="s">
        <v>1035</v>
      </c>
    </row>
    <row r="541" spans="32:37" x14ac:dyDescent="0.3">
      <c r="AF541" s="14" t="s">
        <v>245</v>
      </c>
      <c r="AG541" s="14"/>
      <c r="AH541" t="s">
        <v>891</v>
      </c>
      <c r="AI541" t="s">
        <v>516</v>
      </c>
      <c r="AJ541">
        <v>41340</v>
      </c>
      <c r="AK541" t="s">
        <v>1043</v>
      </c>
    </row>
    <row r="542" spans="32:37" x14ac:dyDescent="0.3">
      <c r="AF542" s="14" t="s">
        <v>244</v>
      </c>
      <c r="AG542" s="14"/>
      <c r="AH542" t="s">
        <v>892</v>
      </c>
      <c r="AI542" t="s">
        <v>258</v>
      </c>
      <c r="AJ542">
        <v>42426</v>
      </c>
      <c r="AK542" t="s">
        <v>1041</v>
      </c>
    </row>
    <row r="543" spans="32:37" x14ac:dyDescent="0.3">
      <c r="AF543" s="14" t="s">
        <v>239</v>
      </c>
      <c r="AG543" s="14"/>
      <c r="AH543" t="s">
        <v>893</v>
      </c>
      <c r="AI543" t="s">
        <v>611</v>
      </c>
      <c r="AJ543">
        <v>42404</v>
      </c>
      <c r="AK543" t="s">
        <v>1041</v>
      </c>
    </row>
    <row r="544" spans="32:37" x14ac:dyDescent="0.3">
      <c r="AF544" s="14" t="s">
        <v>950</v>
      </c>
      <c r="AG544" s="14"/>
      <c r="AH544" t="s">
        <v>894</v>
      </c>
      <c r="AI544" t="s">
        <v>516</v>
      </c>
      <c r="AJ544">
        <v>42399</v>
      </c>
      <c r="AK544" t="s">
        <v>1041</v>
      </c>
    </row>
    <row r="545" spans="32:37" x14ac:dyDescent="0.3">
      <c r="AF545" s="14" t="s">
        <v>921</v>
      </c>
      <c r="AG545" s="14"/>
      <c r="AH545" t="s">
        <v>895</v>
      </c>
      <c r="AI545" t="s">
        <v>343</v>
      </c>
      <c r="AJ545">
        <v>42402</v>
      </c>
      <c r="AK545" t="s">
        <v>1037</v>
      </c>
    </row>
    <row r="546" spans="32:37" x14ac:dyDescent="0.3">
      <c r="AF546" s="14" t="s">
        <v>914</v>
      </c>
      <c r="AG546" s="14"/>
      <c r="AH546" t="s">
        <v>896</v>
      </c>
      <c r="AI546" t="s">
        <v>258</v>
      </c>
      <c r="AJ546">
        <v>42414</v>
      </c>
      <c r="AK546" t="s">
        <v>1041</v>
      </c>
    </row>
    <row r="547" spans="32:37" x14ac:dyDescent="0.3">
      <c r="AF547" s="14" t="s">
        <v>540</v>
      </c>
      <c r="AG547" s="14"/>
      <c r="AH547" t="s">
        <v>897</v>
      </c>
      <c r="AI547" t="s">
        <v>258</v>
      </c>
      <c r="AJ547">
        <v>42433</v>
      </c>
      <c r="AK547" t="s">
        <v>1044</v>
      </c>
    </row>
    <row r="548" spans="32:37" x14ac:dyDescent="0.3">
      <c r="AF548" s="14" t="s">
        <v>768</v>
      </c>
      <c r="AG548" s="14"/>
      <c r="AH548" t="s">
        <v>898</v>
      </c>
      <c r="AI548" t="s">
        <v>243</v>
      </c>
      <c r="AJ548">
        <v>42642</v>
      </c>
      <c r="AK548" t="s">
        <v>1041</v>
      </c>
    </row>
    <row r="549" spans="32:37" x14ac:dyDescent="0.3">
      <c r="AF549" s="14" t="s">
        <v>597</v>
      </c>
      <c r="AG549" s="14"/>
      <c r="AH549" t="s">
        <v>899</v>
      </c>
      <c r="AI549" t="s">
        <v>258</v>
      </c>
      <c r="AJ549">
        <v>42437</v>
      </c>
      <c r="AK549" t="s">
        <v>1041</v>
      </c>
    </row>
    <row r="550" spans="32:37" x14ac:dyDescent="0.3">
      <c r="AF550" s="14" t="s">
        <v>795</v>
      </c>
      <c r="AG550" s="14"/>
      <c r="AH550" t="s">
        <v>900</v>
      </c>
      <c r="AI550" t="s">
        <v>258</v>
      </c>
      <c r="AJ550">
        <v>43341</v>
      </c>
      <c r="AK550" t="s">
        <v>1038</v>
      </c>
    </row>
    <row r="551" spans="32:37" x14ac:dyDescent="0.3">
      <c r="AF551" s="14" t="s">
        <v>903</v>
      </c>
      <c r="AG551" s="14"/>
      <c r="AH551" t="s">
        <v>901</v>
      </c>
      <c r="AI551" t="s">
        <v>516</v>
      </c>
      <c r="AJ551">
        <v>42569</v>
      </c>
      <c r="AK551" t="s">
        <v>1041</v>
      </c>
    </row>
    <row r="552" spans="32:37" x14ac:dyDescent="0.3">
      <c r="AF552" s="14" t="s">
        <v>250</v>
      </c>
      <c r="AG552" s="14"/>
      <c r="AH552" t="s">
        <v>902</v>
      </c>
      <c r="AI552" t="s">
        <v>258</v>
      </c>
      <c r="AJ552">
        <v>42439</v>
      </c>
      <c r="AK552" t="s">
        <v>1044</v>
      </c>
    </row>
    <row r="553" spans="32:37" x14ac:dyDescent="0.3">
      <c r="AF553" s="14" t="s">
        <v>783</v>
      </c>
      <c r="AG553" s="14"/>
      <c r="AH553" t="s">
        <v>903</v>
      </c>
      <c r="AI553" t="s">
        <v>904</v>
      </c>
      <c r="AJ553">
        <v>43393</v>
      </c>
      <c r="AK553" t="s">
        <v>1037</v>
      </c>
    </row>
    <row r="554" spans="32:37" x14ac:dyDescent="0.3">
      <c r="AF554" s="14" t="s">
        <v>924</v>
      </c>
      <c r="AG554" s="14"/>
      <c r="AH554" t="s">
        <v>905</v>
      </c>
      <c r="AI554" t="s">
        <v>516</v>
      </c>
      <c r="AJ554">
        <v>40607.968055555553</v>
      </c>
      <c r="AK554" t="s">
        <v>1046</v>
      </c>
    </row>
    <row r="555" spans="32:37" x14ac:dyDescent="0.3">
      <c r="AF555" s="14" t="s">
        <v>511</v>
      </c>
      <c r="AG555" s="14"/>
      <c r="AH555" t="s">
        <v>906</v>
      </c>
      <c r="AI555" t="s">
        <v>907</v>
      </c>
      <c r="AJ555">
        <v>42435</v>
      </c>
      <c r="AK555" t="s">
        <v>1042</v>
      </c>
    </row>
    <row r="556" spans="32:37" x14ac:dyDescent="0.3">
      <c r="AF556" s="14" t="s">
        <v>864</v>
      </c>
      <c r="AG556" s="14"/>
      <c r="AH556" t="s">
        <v>908</v>
      </c>
      <c r="AI556" t="s">
        <v>258</v>
      </c>
      <c r="AJ556">
        <v>41815</v>
      </c>
      <c r="AK556" t="s">
        <v>1039</v>
      </c>
    </row>
    <row r="557" spans="32:37" x14ac:dyDescent="0.3">
      <c r="AF557" s="14" t="s">
        <v>612</v>
      </c>
      <c r="AG557" s="14"/>
      <c r="AH557" t="s">
        <v>909</v>
      </c>
      <c r="AI557" t="s">
        <v>516</v>
      </c>
      <c r="AJ557">
        <v>42441</v>
      </c>
      <c r="AK557" t="s">
        <v>1041</v>
      </c>
    </row>
    <row r="558" spans="32:37" x14ac:dyDescent="0.3">
      <c r="AF558" s="14" t="s">
        <v>639</v>
      </c>
      <c r="AG558" s="14"/>
      <c r="AH558" t="s">
        <v>910</v>
      </c>
      <c r="AI558" t="s">
        <v>258</v>
      </c>
      <c r="AJ558">
        <v>42442</v>
      </c>
      <c r="AK558" t="s">
        <v>1044</v>
      </c>
    </row>
    <row r="559" spans="32:37" x14ac:dyDescent="0.3">
      <c r="AF559" s="14" t="s">
        <v>600</v>
      </c>
      <c r="AG559" s="14"/>
      <c r="AH559" t="s">
        <v>911</v>
      </c>
      <c r="AI559" t="s">
        <v>263</v>
      </c>
      <c r="AJ559">
        <v>43280</v>
      </c>
      <c r="AK559" t="s">
        <v>1035</v>
      </c>
    </row>
    <row r="560" spans="32:37" x14ac:dyDescent="0.3">
      <c r="AF560" s="14" t="s">
        <v>576</v>
      </c>
      <c r="AG560" s="14"/>
      <c r="AH560" t="s">
        <v>912</v>
      </c>
      <c r="AI560" t="s">
        <v>343</v>
      </c>
      <c r="AJ560">
        <v>42827</v>
      </c>
      <c r="AK560" t="s">
        <v>1037</v>
      </c>
    </row>
    <row r="561" spans="32:37" x14ac:dyDescent="0.3">
      <c r="AF561" s="14" t="s">
        <v>529</v>
      </c>
      <c r="AG561" s="14"/>
      <c r="AH561" t="s">
        <v>913</v>
      </c>
      <c r="AI561" t="s">
        <v>343</v>
      </c>
      <c r="AJ561">
        <v>42643</v>
      </c>
      <c r="AK561" t="s">
        <v>1037</v>
      </c>
    </row>
    <row r="562" spans="32:37" x14ac:dyDescent="0.3">
      <c r="AF562" s="14" t="s">
        <v>718</v>
      </c>
      <c r="AG562" s="14"/>
      <c r="AH562" t="s">
        <v>914</v>
      </c>
      <c r="AI562" t="s">
        <v>240</v>
      </c>
      <c r="AJ562">
        <v>43638</v>
      </c>
      <c r="AK562" t="s">
        <v>1036</v>
      </c>
    </row>
    <row r="563" spans="32:37" x14ac:dyDescent="0.3">
      <c r="AF563" s="14" t="s">
        <v>518</v>
      </c>
      <c r="AG563" s="14"/>
      <c r="AH563" t="s">
        <v>915</v>
      </c>
      <c r="AI563" t="s">
        <v>489</v>
      </c>
      <c r="AJ563">
        <v>41547</v>
      </c>
      <c r="AK563" t="s">
        <v>1035</v>
      </c>
    </row>
    <row r="564" spans="32:37" x14ac:dyDescent="0.3">
      <c r="AF564" s="14" t="s">
        <v>776</v>
      </c>
      <c r="AG564" s="14"/>
      <c r="AH564" t="s">
        <v>916</v>
      </c>
      <c r="AI564" t="s">
        <v>258</v>
      </c>
      <c r="AJ564">
        <v>42171</v>
      </c>
      <c r="AK564" t="s">
        <v>1044</v>
      </c>
    </row>
    <row r="565" spans="32:37" x14ac:dyDescent="0.3">
      <c r="AF565" s="14" t="s">
        <v>854</v>
      </c>
      <c r="AG565" s="14"/>
      <c r="AH565" t="s">
        <v>917</v>
      </c>
      <c r="AI565" t="s">
        <v>258</v>
      </c>
      <c r="AJ565">
        <v>42447</v>
      </c>
      <c r="AK565" t="s">
        <v>1044</v>
      </c>
    </row>
    <row r="566" spans="32:37" x14ac:dyDescent="0.3">
      <c r="AF566" s="14" t="s">
        <v>542</v>
      </c>
      <c r="AG566" s="14"/>
      <c r="AH566" t="s">
        <v>918</v>
      </c>
      <c r="AI566" t="s">
        <v>363</v>
      </c>
      <c r="AJ566">
        <v>43373</v>
      </c>
      <c r="AK566" t="s">
        <v>1038</v>
      </c>
    </row>
    <row r="567" spans="32:37" x14ac:dyDescent="0.3">
      <c r="AF567" s="14" t="s">
        <v>275</v>
      </c>
      <c r="AG567" s="14"/>
      <c r="AH567" t="s">
        <v>919</v>
      </c>
      <c r="AI567" t="s">
        <v>352</v>
      </c>
      <c r="AJ567">
        <v>41380</v>
      </c>
      <c r="AK567" t="s">
        <v>1035</v>
      </c>
    </row>
    <row r="568" spans="32:37" x14ac:dyDescent="0.3">
      <c r="AF568" s="14" t="s">
        <v>280</v>
      </c>
      <c r="AG568" s="14"/>
      <c r="AH568" t="s">
        <v>920</v>
      </c>
      <c r="AI568" t="s">
        <v>258</v>
      </c>
      <c r="AJ568">
        <v>42437</v>
      </c>
      <c r="AK568" t="s">
        <v>1041</v>
      </c>
    </row>
    <row r="569" spans="32:37" x14ac:dyDescent="0.3">
      <c r="AF569" s="14" t="s">
        <v>325</v>
      </c>
      <c r="AG569" s="14"/>
      <c r="AH569" t="s">
        <v>921</v>
      </c>
      <c r="AI569" t="s">
        <v>240</v>
      </c>
      <c r="AJ569">
        <v>43640</v>
      </c>
      <c r="AK569" t="s">
        <v>1036</v>
      </c>
    </row>
    <row r="570" spans="32:37" x14ac:dyDescent="0.3">
      <c r="AF570" s="14" t="s">
        <v>308</v>
      </c>
      <c r="AG570" s="14"/>
      <c r="AH570" t="s">
        <v>922</v>
      </c>
      <c r="AI570" t="s">
        <v>258</v>
      </c>
      <c r="AJ570">
        <v>42448</v>
      </c>
      <c r="AK570" t="s">
        <v>1041</v>
      </c>
    </row>
    <row r="571" spans="32:37" x14ac:dyDescent="0.3">
      <c r="AF571" s="14" t="s">
        <v>725</v>
      </c>
      <c r="AG571" s="14"/>
      <c r="AH571" t="s">
        <v>923</v>
      </c>
      <c r="AI571" t="s">
        <v>824</v>
      </c>
      <c r="AJ571">
        <v>42449</v>
      </c>
      <c r="AK571" t="s">
        <v>1044</v>
      </c>
    </row>
    <row r="572" spans="32:37" x14ac:dyDescent="0.3">
      <c r="AF572" s="14" t="s">
        <v>654</v>
      </c>
      <c r="AG572" s="14"/>
      <c r="AH572" t="s">
        <v>924</v>
      </c>
      <c r="AI572" t="s">
        <v>512</v>
      </c>
      <c r="AJ572">
        <v>41088</v>
      </c>
      <c r="AK572" t="s">
        <v>1035</v>
      </c>
    </row>
    <row r="573" spans="32:37" x14ac:dyDescent="0.3">
      <c r="AF573" s="14" t="s">
        <v>666</v>
      </c>
      <c r="AG573" s="14"/>
      <c r="AH573" t="s">
        <v>925</v>
      </c>
      <c r="AI573" t="s">
        <v>258</v>
      </c>
      <c r="AJ573">
        <v>42405</v>
      </c>
      <c r="AK573" t="s">
        <v>1041</v>
      </c>
    </row>
    <row r="574" spans="32:37" x14ac:dyDescent="0.3">
      <c r="AF574" s="14" t="s">
        <v>237</v>
      </c>
      <c r="AG574" s="14"/>
      <c r="AH574" t="s">
        <v>926</v>
      </c>
      <c r="AI574" t="s">
        <v>824</v>
      </c>
      <c r="AJ574">
        <v>42449</v>
      </c>
      <c r="AK574" t="s">
        <v>1044</v>
      </c>
    </row>
    <row r="575" spans="32:37" x14ac:dyDescent="0.3">
      <c r="AF575" s="14" t="s">
        <v>411</v>
      </c>
      <c r="AG575" s="14"/>
      <c r="AH575" t="s">
        <v>927</v>
      </c>
      <c r="AI575" t="s">
        <v>258</v>
      </c>
      <c r="AJ575">
        <v>42448</v>
      </c>
      <c r="AK575" t="s">
        <v>1044</v>
      </c>
    </row>
    <row r="576" spans="32:37" x14ac:dyDescent="0.3">
      <c r="AF576" s="14" t="s">
        <v>348</v>
      </c>
      <c r="AG576" s="14"/>
      <c r="AH576" t="s">
        <v>928</v>
      </c>
      <c r="AI576" t="s">
        <v>929</v>
      </c>
      <c r="AJ576">
        <v>42377</v>
      </c>
      <c r="AK576" t="s">
        <v>1035</v>
      </c>
    </row>
    <row r="577" spans="32:37" x14ac:dyDescent="0.3">
      <c r="AF577" s="14" t="s">
        <v>681</v>
      </c>
      <c r="AG577" s="14"/>
      <c r="AH577" t="s">
        <v>930</v>
      </c>
      <c r="AI577" t="s">
        <v>931</v>
      </c>
      <c r="AJ577">
        <v>42491</v>
      </c>
      <c r="AK577" t="s">
        <v>1039</v>
      </c>
    </row>
    <row r="578" spans="32:37" x14ac:dyDescent="0.3">
      <c r="AF578" s="14" t="s">
        <v>334</v>
      </c>
      <c r="AG578" s="14"/>
      <c r="AH578" t="s">
        <v>932</v>
      </c>
      <c r="AI578" t="s">
        <v>343</v>
      </c>
      <c r="AJ578">
        <v>42456</v>
      </c>
      <c r="AK578" t="s">
        <v>1037</v>
      </c>
    </row>
    <row r="579" spans="32:37" x14ac:dyDescent="0.3">
      <c r="AF579" s="14" t="s">
        <v>331</v>
      </c>
      <c r="AG579" s="14"/>
      <c r="AH579" t="s">
        <v>933</v>
      </c>
      <c r="AI579" t="s">
        <v>258</v>
      </c>
      <c r="AJ579">
        <v>42734</v>
      </c>
      <c r="AK579" t="s">
        <v>1041</v>
      </c>
    </row>
    <row r="580" spans="32:37" x14ac:dyDescent="0.3">
      <c r="AF580" s="14" t="s">
        <v>267</v>
      </c>
      <c r="AG580" s="14"/>
      <c r="AH580" t="s">
        <v>934</v>
      </c>
      <c r="AI580" t="s">
        <v>489</v>
      </c>
      <c r="AJ580">
        <v>41547</v>
      </c>
      <c r="AK580" t="s">
        <v>1035</v>
      </c>
    </row>
    <row r="581" spans="32:37" x14ac:dyDescent="0.3">
      <c r="AF581" s="14" t="s">
        <v>327</v>
      </c>
      <c r="AG581" s="14"/>
      <c r="AH581" t="s">
        <v>935</v>
      </c>
      <c r="AI581" t="s">
        <v>407</v>
      </c>
      <c r="AJ581">
        <v>42666</v>
      </c>
      <c r="AK581" t="s">
        <v>1035</v>
      </c>
    </row>
    <row r="582" spans="32:37" x14ac:dyDescent="0.3">
      <c r="AF582" s="14" t="s">
        <v>564</v>
      </c>
      <c r="AG582" s="14"/>
      <c r="AH582" t="s">
        <v>936</v>
      </c>
      <c r="AI582" t="s">
        <v>258</v>
      </c>
      <c r="AJ582">
        <v>42460</v>
      </c>
      <c r="AK582" t="s">
        <v>1041</v>
      </c>
    </row>
    <row r="583" spans="32:37" x14ac:dyDescent="0.3">
      <c r="AF583" s="14" t="s">
        <v>436</v>
      </c>
      <c r="AG583" s="14"/>
      <c r="AH583" t="s">
        <v>937</v>
      </c>
      <c r="AI583" t="s">
        <v>516</v>
      </c>
      <c r="AJ583">
        <v>41724</v>
      </c>
      <c r="AK583" t="s">
        <v>1035</v>
      </c>
    </row>
    <row r="584" spans="32:37" x14ac:dyDescent="0.3">
      <c r="AF584" s="14" t="s">
        <v>598</v>
      </c>
      <c r="AG584" s="14"/>
      <c r="AH584" t="s">
        <v>938</v>
      </c>
      <c r="AI584" t="s">
        <v>258</v>
      </c>
      <c r="AJ584">
        <v>42458</v>
      </c>
      <c r="AK584" t="s">
        <v>1041</v>
      </c>
    </row>
    <row r="585" spans="32:37" x14ac:dyDescent="0.3">
      <c r="AF585" s="14" t="s">
        <v>734</v>
      </c>
      <c r="AG585" s="14"/>
      <c r="AH585" t="s">
        <v>939</v>
      </c>
      <c r="AI585" t="s">
        <v>258</v>
      </c>
      <c r="AJ585">
        <v>42460</v>
      </c>
      <c r="AK585" t="s">
        <v>1041</v>
      </c>
    </row>
    <row r="586" spans="32:37" x14ac:dyDescent="0.3">
      <c r="AF586" s="14" t="s">
        <v>906</v>
      </c>
      <c r="AG586" s="14"/>
      <c r="AH586" t="s">
        <v>940</v>
      </c>
      <c r="AI586" t="s">
        <v>516</v>
      </c>
      <c r="AJ586">
        <v>42570</v>
      </c>
      <c r="AK586" t="s">
        <v>1041</v>
      </c>
    </row>
    <row r="587" spans="32:37" x14ac:dyDescent="0.3">
      <c r="AF587" s="14" t="s">
        <v>503</v>
      </c>
      <c r="AG587" s="14"/>
      <c r="AH587" t="s">
        <v>941</v>
      </c>
      <c r="AI587" t="s">
        <v>343</v>
      </c>
      <c r="AJ587">
        <v>42868</v>
      </c>
      <c r="AK587" t="s">
        <v>1037</v>
      </c>
    </row>
    <row r="588" spans="32:37" x14ac:dyDescent="0.3">
      <c r="AF588" s="14" t="s">
        <v>638</v>
      </c>
      <c r="AG588" s="14"/>
      <c r="AH588" t="s">
        <v>942</v>
      </c>
      <c r="AI588" t="s">
        <v>258</v>
      </c>
      <c r="AJ588">
        <v>41959</v>
      </c>
      <c r="AK588" t="s">
        <v>1044</v>
      </c>
    </row>
    <row r="589" spans="32:37" x14ac:dyDescent="0.3">
      <c r="AF589" s="14" t="s">
        <v>491</v>
      </c>
      <c r="AG589" s="14"/>
      <c r="AH589" t="s">
        <v>943</v>
      </c>
      <c r="AI589" t="s">
        <v>258</v>
      </c>
      <c r="AJ589">
        <v>42458</v>
      </c>
      <c r="AK589" t="s">
        <v>1041</v>
      </c>
    </row>
    <row r="590" spans="32:37" x14ac:dyDescent="0.3">
      <c r="AF590" s="14" t="s">
        <v>344</v>
      </c>
      <c r="AG590" s="14"/>
      <c r="AH590" t="s">
        <v>944</v>
      </c>
      <c r="AI590" t="s">
        <v>258</v>
      </c>
      <c r="AJ590">
        <v>42460</v>
      </c>
      <c r="AK590" t="s">
        <v>1041</v>
      </c>
    </row>
    <row r="591" spans="32:37" x14ac:dyDescent="0.3">
      <c r="AF591" s="14" t="s">
        <v>266</v>
      </c>
      <c r="AG591" s="14"/>
      <c r="AH591" t="s">
        <v>945</v>
      </c>
      <c r="AI591" t="s">
        <v>258</v>
      </c>
      <c r="AJ591">
        <v>42458</v>
      </c>
      <c r="AK591" t="s">
        <v>1041</v>
      </c>
    </row>
    <row r="592" spans="32:37" x14ac:dyDescent="0.3">
      <c r="AF592" s="14" t="s">
        <v>264</v>
      </c>
      <c r="AG592" s="14"/>
      <c r="AH592" t="s">
        <v>946</v>
      </c>
      <c r="AI592" t="s">
        <v>516</v>
      </c>
      <c r="AJ592">
        <v>42540</v>
      </c>
      <c r="AK592" t="s">
        <v>1041</v>
      </c>
    </row>
    <row r="593" spans="32:37" x14ac:dyDescent="0.3">
      <c r="AF593" s="14" t="s">
        <v>770</v>
      </c>
      <c r="AG593" s="14"/>
      <c r="AH593" t="s">
        <v>947</v>
      </c>
      <c r="AI593" t="s">
        <v>258</v>
      </c>
      <c r="AJ593">
        <v>42629</v>
      </c>
      <c r="AK593" t="s">
        <v>1041</v>
      </c>
    </row>
    <row r="594" spans="32:37" x14ac:dyDescent="0.3">
      <c r="AF594" s="14" t="s">
        <v>295</v>
      </c>
      <c r="AG594" s="14"/>
      <c r="AH594" t="s">
        <v>948</v>
      </c>
      <c r="AI594" t="s">
        <v>516</v>
      </c>
      <c r="AJ594">
        <v>42460</v>
      </c>
      <c r="AK594" t="s">
        <v>1041</v>
      </c>
    </row>
    <row r="595" spans="32:37" x14ac:dyDescent="0.3">
      <c r="AF595" s="14" t="s">
        <v>994</v>
      </c>
      <c r="AG595" s="14"/>
      <c r="AH595" t="s">
        <v>949</v>
      </c>
      <c r="AI595" t="s">
        <v>516</v>
      </c>
      <c r="AJ595">
        <v>42460</v>
      </c>
      <c r="AK595" t="s">
        <v>1041</v>
      </c>
    </row>
    <row r="596" spans="32:37" x14ac:dyDescent="0.3">
      <c r="AF596" s="14" t="s">
        <v>246</v>
      </c>
      <c r="AG596" s="14"/>
      <c r="AH596" t="s">
        <v>950</v>
      </c>
      <c r="AI596" t="s">
        <v>240</v>
      </c>
      <c r="AJ596">
        <v>43638</v>
      </c>
      <c r="AK596" t="s">
        <v>1036</v>
      </c>
    </row>
    <row r="597" spans="32:37" x14ac:dyDescent="0.3">
      <c r="AF597" s="14" t="s">
        <v>497</v>
      </c>
      <c r="AG597" s="14"/>
      <c r="AH597" t="s">
        <v>951</v>
      </c>
      <c r="AI597" t="s">
        <v>258</v>
      </c>
      <c r="AJ597">
        <v>42914</v>
      </c>
      <c r="AK597" t="s">
        <v>1038</v>
      </c>
    </row>
    <row r="598" spans="32:37" x14ac:dyDescent="0.3">
      <c r="AF598" s="14" t="s">
        <v>401</v>
      </c>
      <c r="AG598" s="14"/>
      <c r="AH598" t="s">
        <v>952</v>
      </c>
      <c r="AI598" t="s">
        <v>258</v>
      </c>
      <c r="AJ598">
        <v>42637</v>
      </c>
      <c r="AK598" t="s">
        <v>1041</v>
      </c>
    </row>
    <row r="599" spans="32:37" x14ac:dyDescent="0.3">
      <c r="AF599" s="14" t="s">
        <v>614</v>
      </c>
      <c r="AG599" s="14"/>
      <c r="AH599" t="s">
        <v>953</v>
      </c>
      <c r="AI599" t="s">
        <v>548</v>
      </c>
      <c r="AJ599">
        <v>43372</v>
      </c>
      <c r="AK599" t="s">
        <v>1042</v>
      </c>
    </row>
    <row r="600" spans="32:37" x14ac:dyDescent="0.3">
      <c r="AF600" s="14" t="s">
        <v>786</v>
      </c>
      <c r="AG600" s="14"/>
      <c r="AH600" t="s">
        <v>954</v>
      </c>
      <c r="AI600" t="s">
        <v>258</v>
      </c>
      <c r="AJ600">
        <v>42474</v>
      </c>
      <c r="AK600" t="s">
        <v>1041</v>
      </c>
    </row>
    <row r="601" spans="32:37" x14ac:dyDescent="0.3">
      <c r="AF601" s="14" t="s">
        <v>662</v>
      </c>
      <c r="AG601" s="14"/>
      <c r="AH601" t="s">
        <v>955</v>
      </c>
      <c r="AI601" t="s">
        <v>284</v>
      </c>
      <c r="AJ601">
        <v>43421</v>
      </c>
      <c r="AK601" t="s">
        <v>1038</v>
      </c>
    </row>
    <row r="602" spans="32:37" x14ac:dyDescent="0.3">
      <c r="AF602" s="14" t="s">
        <v>589</v>
      </c>
      <c r="AG602" s="14"/>
      <c r="AH602" t="s">
        <v>956</v>
      </c>
      <c r="AI602" t="s">
        <v>363</v>
      </c>
      <c r="AJ602">
        <v>42735</v>
      </c>
      <c r="AK602" t="s">
        <v>1041</v>
      </c>
    </row>
    <row r="603" spans="32:37" x14ac:dyDescent="0.3">
      <c r="AF603" s="14" t="s">
        <v>821</v>
      </c>
      <c r="AG603" s="14"/>
      <c r="AH603" t="s">
        <v>957</v>
      </c>
      <c r="AI603" t="s">
        <v>258</v>
      </c>
      <c r="AJ603">
        <v>42481</v>
      </c>
      <c r="AK603" t="s">
        <v>1041</v>
      </c>
    </row>
    <row r="604" spans="32:37" x14ac:dyDescent="0.3">
      <c r="AF604" s="14" t="s">
        <v>712</v>
      </c>
      <c r="AG604" s="14"/>
      <c r="AH604" t="s">
        <v>958</v>
      </c>
      <c r="AI604" t="s">
        <v>258</v>
      </c>
      <c r="AJ604">
        <v>42489</v>
      </c>
      <c r="AK604" t="s">
        <v>1041</v>
      </c>
    </row>
    <row r="605" spans="32:37" x14ac:dyDescent="0.3">
      <c r="AF605" s="14" t="s">
        <v>905</v>
      </c>
      <c r="AG605" s="14"/>
      <c r="AH605" t="s">
        <v>959</v>
      </c>
      <c r="AI605" t="s">
        <v>343</v>
      </c>
      <c r="AJ605">
        <v>42489</v>
      </c>
      <c r="AK605" t="s">
        <v>1037</v>
      </c>
    </row>
    <row r="606" spans="32:37" x14ac:dyDescent="0.3">
      <c r="AF606" s="14" t="s">
        <v>796</v>
      </c>
      <c r="AG606" s="14"/>
      <c r="AH606" t="s">
        <v>960</v>
      </c>
      <c r="AI606" t="s">
        <v>258</v>
      </c>
      <c r="AJ606">
        <v>42510</v>
      </c>
      <c r="AK606" t="s">
        <v>1041</v>
      </c>
    </row>
    <row r="607" spans="32:37" x14ac:dyDescent="0.3">
      <c r="AF607" s="14" t="s">
        <v>797</v>
      </c>
      <c r="AG607" s="14"/>
      <c r="AH607" t="s">
        <v>961</v>
      </c>
      <c r="AI607" t="s">
        <v>516</v>
      </c>
      <c r="AJ607">
        <v>41586</v>
      </c>
      <c r="AK607" t="s">
        <v>1043</v>
      </c>
    </row>
    <row r="608" spans="32:37" x14ac:dyDescent="0.3">
      <c r="AF608" s="14" t="s">
        <v>832</v>
      </c>
      <c r="AG608" s="14"/>
      <c r="AH608" t="s">
        <v>962</v>
      </c>
      <c r="AI608" t="s">
        <v>516</v>
      </c>
      <c r="AJ608">
        <v>42564</v>
      </c>
      <c r="AK608" t="s">
        <v>1041</v>
      </c>
    </row>
    <row r="609" spans="32:37" x14ac:dyDescent="0.3">
      <c r="AF609" s="14" t="s">
        <v>533</v>
      </c>
      <c r="AG609" s="14"/>
      <c r="AH609" t="s">
        <v>963</v>
      </c>
      <c r="AI609" t="s">
        <v>343</v>
      </c>
      <c r="AJ609">
        <v>42533</v>
      </c>
      <c r="AK609" t="s">
        <v>1037</v>
      </c>
    </row>
    <row r="610" spans="32:37" x14ac:dyDescent="0.3">
      <c r="AF610" s="14" t="s">
        <v>592</v>
      </c>
      <c r="AG610" s="14"/>
      <c r="AH610" t="s">
        <v>964</v>
      </c>
      <c r="AI610" t="s">
        <v>258</v>
      </c>
      <c r="AJ610">
        <v>42517</v>
      </c>
      <c r="AK610" t="s">
        <v>1041</v>
      </c>
    </row>
    <row r="611" spans="32:37" x14ac:dyDescent="0.3">
      <c r="AF611" s="14" t="s">
        <v>628</v>
      </c>
      <c r="AG611" s="14"/>
      <c r="AH611" t="s">
        <v>965</v>
      </c>
      <c r="AI611" t="s">
        <v>489</v>
      </c>
      <c r="AJ611">
        <v>41547</v>
      </c>
      <c r="AK611" t="s">
        <v>1035</v>
      </c>
    </row>
    <row r="612" spans="32:37" x14ac:dyDescent="0.3">
      <c r="AF612" s="14" t="s">
        <v>798</v>
      </c>
      <c r="AG612" s="14"/>
      <c r="AH612" t="s">
        <v>966</v>
      </c>
      <c r="AI612" t="s">
        <v>343</v>
      </c>
      <c r="AJ612">
        <v>42543</v>
      </c>
      <c r="AK612" t="s">
        <v>1037</v>
      </c>
    </row>
    <row r="613" spans="32:37" x14ac:dyDescent="0.3">
      <c r="AF613" s="14" t="s">
        <v>746</v>
      </c>
      <c r="AG613" s="14"/>
      <c r="AH613" t="s">
        <v>967</v>
      </c>
      <c r="AI613" t="s">
        <v>516</v>
      </c>
      <c r="AJ613">
        <v>42538</v>
      </c>
      <c r="AK613" t="s">
        <v>1041</v>
      </c>
    </row>
    <row r="614" spans="32:37" x14ac:dyDescent="0.3">
      <c r="AF614" s="14" t="s">
        <v>773</v>
      </c>
      <c r="AG614" s="14"/>
      <c r="AH614" t="s">
        <v>968</v>
      </c>
      <c r="AI614" t="s">
        <v>415</v>
      </c>
      <c r="AJ614">
        <v>42899</v>
      </c>
      <c r="AK614" t="s">
        <v>1042</v>
      </c>
    </row>
    <row r="615" spans="32:37" x14ac:dyDescent="0.3">
      <c r="AF615" s="14" t="s">
        <v>735</v>
      </c>
      <c r="AG615" s="14"/>
      <c r="AH615" t="s">
        <v>969</v>
      </c>
      <c r="AI615" t="s">
        <v>258</v>
      </c>
      <c r="AJ615">
        <v>42539</v>
      </c>
      <c r="AK615" t="s">
        <v>1041</v>
      </c>
    </row>
    <row r="616" spans="32:37" x14ac:dyDescent="0.3">
      <c r="AF616" s="14" t="s">
        <v>572</v>
      </c>
      <c r="AG616" s="14"/>
      <c r="AH616" t="s">
        <v>970</v>
      </c>
      <c r="AI616" t="s">
        <v>258</v>
      </c>
      <c r="AJ616">
        <v>42539</v>
      </c>
      <c r="AK616" t="s">
        <v>1041</v>
      </c>
    </row>
    <row r="617" spans="32:37" x14ac:dyDescent="0.3">
      <c r="AF617" s="14" t="s">
        <v>594</v>
      </c>
      <c r="AG617" s="14"/>
      <c r="AH617" t="s">
        <v>971</v>
      </c>
      <c r="AI617" t="s">
        <v>258</v>
      </c>
      <c r="AJ617">
        <v>42866</v>
      </c>
      <c r="AK617" t="s">
        <v>1038</v>
      </c>
    </row>
    <row r="618" spans="32:37" x14ac:dyDescent="0.3">
      <c r="AF618" s="14" t="s">
        <v>515</v>
      </c>
      <c r="AG618" s="14"/>
      <c r="AH618" t="s">
        <v>972</v>
      </c>
      <c r="AI618" t="s">
        <v>343</v>
      </c>
      <c r="AJ618">
        <v>41912</v>
      </c>
      <c r="AK618" t="s">
        <v>1044</v>
      </c>
    </row>
    <row r="619" spans="32:37" x14ac:dyDescent="0.3">
      <c r="AF619" s="14" t="s">
        <v>891</v>
      </c>
      <c r="AG619" s="14"/>
      <c r="AH619" t="s">
        <v>973</v>
      </c>
      <c r="AI619" t="s">
        <v>258</v>
      </c>
      <c r="AJ619">
        <v>42539</v>
      </c>
      <c r="AK619" t="s">
        <v>1041</v>
      </c>
    </row>
    <row r="620" spans="32:37" x14ac:dyDescent="0.3">
      <c r="AF620" s="14" t="s">
        <v>553</v>
      </c>
      <c r="AG620" s="14"/>
      <c r="AH620" t="s">
        <v>974</v>
      </c>
      <c r="AI620" t="s">
        <v>258</v>
      </c>
      <c r="AJ620">
        <v>41945</v>
      </c>
      <c r="AK620" t="s">
        <v>1044</v>
      </c>
    </row>
    <row r="621" spans="32:37" x14ac:dyDescent="0.3">
      <c r="AF621" s="14" t="s">
        <v>566</v>
      </c>
      <c r="AG621" s="14"/>
      <c r="AH621" t="s">
        <v>975</v>
      </c>
      <c r="AI621" t="s">
        <v>516</v>
      </c>
      <c r="AJ621">
        <v>42540</v>
      </c>
      <c r="AK621" t="s">
        <v>1041</v>
      </c>
    </row>
    <row r="622" spans="32:37" x14ac:dyDescent="0.3">
      <c r="AF622" s="14" t="s">
        <v>554</v>
      </c>
      <c r="AG622" s="14"/>
      <c r="AH622" t="s">
        <v>976</v>
      </c>
      <c r="AI622" t="s">
        <v>258</v>
      </c>
      <c r="AJ622">
        <v>42882</v>
      </c>
      <c r="AK622" t="s">
        <v>1038</v>
      </c>
    </row>
    <row r="623" spans="32:37" x14ac:dyDescent="0.3">
      <c r="AF623" s="14" t="s">
        <v>844</v>
      </c>
      <c r="AG623" s="14"/>
      <c r="AH623" t="s">
        <v>977</v>
      </c>
      <c r="AI623" t="s">
        <v>516</v>
      </c>
      <c r="AJ623">
        <v>42541</v>
      </c>
      <c r="AK623" t="s">
        <v>1041</v>
      </c>
    </row>
    <row r="624" spans="32:37" x14ac:dyDescent="0.3">
      <c r="AF624" s="14" t="s">
        <v>788</v>
      </c>
      <c r="AG624" s="14"/>
      <c r="AH624" t="s">
        <v>978</v>
      </c>
      <c r="AI624" t="s">
        <v>258</v>
      </c>
      <c r="AJ624">
        <v>42081</v>
      </c>
      <c r="AK624" t="s">
        <v>1044</v>
      </c>
    </row>
    <row r="625" spans="32:37" x14ac:dyDescent="0.3">
      <c r="AF625" s="14" t="s">
        <v>624</v>
      </c>
      <c r="AG625" s="14"/>
      <c r="AH625" t="s">
        <v>979</v>
      </c>
      <c r="AI625" t="s">
        <v>611</v>
      </c>
      <c r="AJ625">
        <v>42542</v>
      </c>
      <c r="AK625" t="s">
        <v>1041</v>
      </c>
    </row>
    <row r="626" spans="32:37" x14ac:dyDescent="0.3">
      <c r="AF626" s="14" t="s">
        <v>961</v>
      </c>
      <c r="AG626" s="14"/>
      <c r="AH626" t="s">
        <v>980</v>
      </c>
      <c r="AI626" t="s">
        <v>516</v>
      </c>
      <c r="AJ626">
        <v>42540</v>
      </c>
      <c r="AK626" t="s">
        <v>1041</v>
      </c>
    </row>
    <row r="627" spans="32:37" x14ac:dyDescent="0.3">
      <c r="AF627" s="14" t="s">
        <v>997</v>
      </c>
      <c r="AG627" s="14"/>
      <c r="AH627" t="s">
        <v>981</v>
      </c>
      <c r="AI627" t="s">
        <v>240</v>
      </c>
      <c r="AJ627">
        <v>41078</v>
      </c>
      <c r="AK627" t="s">
        <v>1047</v>
      </c>
    </row>
    <row r="628" spans="32:37" x14ac:dyDescent="0.3">
      <c r="AF628" s="14" t="s">
        <v>937</v>
      </c>
      <c r="AG628" s="14"/>
      <c r="AH628" t="s">
        <v>982</v>
      </c>
      <c r="AI628" t="s">
        <v>258</v>
      </c>
      <c r="AJ628">
        <v>42549</v>
      </c>
      <c r="AK628" t="s">
        <v>1041</v>
      </c>
    </row>
    <row r="629" spans="32:37" x14ac:dyDescent="0.3">
      <c r="AF629" s="14" t="s">
        <v>847</v>
      </c>
      <c r="AG629" s="14"/>
      <c r="AH629" t="s">
        <v>983</v>
      </c>
      <c r="AI629" t="s">
        <v>258</v>
      </c>
      <c r="AJ629">
        <v>42576</v>
      </c>
      <c r="AK629" t="s">
        <v>1041</v>
      </c>
    </row>
    <row r="630" spans="32:37" x14ac:dyDescent="0.3">
      <c r="AF630" s="14" t="s">
        <v>664</v>
      </c>
      <c r="AG630" s="14"/>
      <c r="AH630" t="s">
        <v>984</v>
      </c>
      <c r="AI630" t="s">
        <v>330</v>
      </c>
      <c r="AJ630">
        <v>42734</v>
      </c>
      <c r="AK630" t="s">
        <v>1037</v>
      </c>
    </row>
    <row r="631" spans="32:37" x14ac:dyDescent="0.3">
      <c r="AF631" s="14" t="s">
        <v>580</v>
      </c>
      <c r="AG631" s="14"/>
      <c r="AH631" t="s">
        <v>985</v>
      </c>
      <c r="AI631" t="s">
        <v>343</v>
      </c>
      <c r="AJ631">
        <v>42551</v>
      </c>
      <c r="AK631" t="s">
        <v>1037</v>
      </c>
    </row>
    <row r="632" spans="32:37" x14ac:dyDescent="0.3">
      <c r="AF632" s="14" t="s">
        <v>1003</v>
      </c>
      <c r="AG632" s="14"/>
      <c r="AH632" t="s">
        <v>986</v>
      </c>
      <c r="AI632" t="s">
        <v>987</v>
      </c>
      <c r="AJ632">
        <v>42553</v>
      </c>
      <c r="AK632" t="s">
        <v>1037</v>
      </c>
    </row>
    <row r="633" spans="32:37" x14ac:dyDescent="0.3">
      <c r="AF633" s="14" t="s">
        <v>730</v>
      </c>
      <c r="AG633" s="14"/>
      <c r="AH633" t="s">
        <v>988</v>
      </c>
      <c r="AI633" t="s">
        <v>258</v>
      </c>
      <c r="AJ633">
        <v>42550</v>
      </c>
      <c r="AK633" t="s">
        <v>1041</v>
      </c>
    </row>
    <row r="634" spans="32:37" x14ac:dyDescent="0.3">
      <c r="AF634" s="14" t="s">
        <v>631</v>
      </c>
      <c r="AG634" s="14"/>
      <c r="AH634" t="s">
        <v>989</v>
      </c>
      <c r="AI634" t="s">
        <v>343</v>
      </c>
      <c r="AJ634">
        <v>42457</v>
      </c>
      <c r="AK634" t="s">
        <v>1037</v>
      </c>
    </row>
    <row r="635" spans="32:37" x14ac:dyDescent="0.3">
      <c r="AF635" s="14" t="s">
        <v>507</v>
      </c>
      <c r="AG635" s="14"/>
      <c r="AH635" t="s">
        <v>990</v>
      </c>
      <c r="AI635" t="s">
        <v>258</v>
      </c>
      <c r="AJ635">
        <v>42544</v>
      </c>
      <c r="AK635" t="s">
        <v>1041</v>
      </c>
    </row>
    <row r="636" spans="32:37" x14ac:dyDescent="0.3">
      <c r="AF636" s="14" t="s">
        <v>481</v>
      </c>
      <c r="AG636" s="14"/>
      <c r="AH636" t="s">
        <v>991</v>
      </c>
      <c r="AI636" t="s">
        <v>258</v>
      </c>
      <c r="AJ636">
        <v>42546</v>
      </c>
      <c r="AK636" t="s">
        <v>1041</v>
      </c>
    </row>
    <row r="637" spans="32:37" x14ac:dyDescent="0.3">
      <c r="AF637" s="14" t="s">
        <v>909</v>
      </c>
      <c r="AG637" s="14"/>
      <c r="AH637" t="s">
        <v>992</v>
      </c>
      <c r="AI637" t="s">
        <v>516</v>
      </c>
      <c r="AJ637">
        <v>42553</v>
      </c>
      <c r="AK637" t="s">
        <v>1041</v>
      </c>
    </row>
    <row r="638" spans="32:37" x14ac:dyDescent="0.3">
      <c r="AF638" s="14" t="s">
        <v>842</v>
      </c>
      <c r="AG638" s="14"/>
      <c r="AH638" t="s">
        <v>993</v>
      </c>
      <c r="AI638" t="s">
        <v>258</v>
      </c>
      <c r="AJ638">
        <v>42559</v>
      </c>
      <c r="AK638" t="s">
        <v>1041</v>
      </c>
    </row>
    <row r="639" spans="32:37" x14ac:dyDescent="0.3">
      <c r="AF639" s="14" t="s">
        <v>999</v>
      </c>
      <c r="AG639" s="14"/>
      <c r="AH639" t="s">
        <v>994</v>
      </c>
      <c r="AI639" t="s">
        <v>247</v>
      </c>
      <c r="AJ639">
        <v>43729</v>
      </c>
      <c r="AK639" t="s">
        <v>1038</v>
      </c>
    </row>
    <row r="640" spans="32:37" x14ac:dyDescent="0.3">
      <c r="AF640" s="14" t="s">
        <v>901</v>
      </c>
      <c r="AG640" s="14"/>
      <c r="AH640" t="s">
        <v>995</v>
      </c>
      <c r="AI640" t="s">
        <v>996</v>
      </c>
      <c r="AJ640">
        <v>40877</v>
      </c>
      <c r="AK640" t="s">
        <v>1035</v>
      </c>
    </row>
    <row r="641" spans="32:37" x14ac:dyDescent="0.3">
      <c r="AF641" s="14" t="s">
        <v>1002</v>
      </c>
      <c r="AG641" s="14"/>
      <c r="AH641" t="s">
        <v>997</v>
      </c>
      <c r="AI641" t="s">
        <v>516</v>
      </c>
      <c r="AJ641">
        <v>41347</v>
      </c>
      <c r="AK641" t="s">
        <v>1043</v>
      </c>
    </row>
    <row r="642" spans="32:37" x14ac:dyDescent="0.3">
      <c r="AF642" s="14" t="s">
        <v>940</v>
      </c>
      <c r="AG642" s="14"/>
      <c r="AH642" t="s">
        <v>998</v>
      </c>
      <c r="AI642" t="s">
        <v>258</v>
      </c>
      <c r="AJ642">
        <v>42569</v>
      </c>
      <c r="AK642" t="s">
        <v>1041</v>
      </c>
    </row>
    <row r="643" spans="32:37" x14ac:dyDescent="0.3">
      <c r="AF643" s="14" t="s">
        <v>846</v>
      </c>
      <c r="AG643" s="14"/>
      <c r="AH643" t="s">
        <v>999</v>
      </c>
      <c r="AI643" t="s">
        <v>516</v>
      </c>
      <c r="AJ643">
        <v>42569</v>
      </c>
      <c r="AK643" t="s">
        <v>1041</v>
      </c>
    </row>
    <row r="644" spans="32:37" x14ac:dyDescent="0.3">
      <c r="AF644" s="14" t="s">
        <v>967</v>
      </c>
      <c r="AG644" s="14"/>
      <c r="AH644" t="s">
        <v>1000</v>
      </c>
      <c r="AI644" t="s">
        <v>1001</v>
      </c>
      <c r="AJ644">
        <v>41524</v>
      </c>
      <c r="AK644" t="s">
        <v>1035</v>
      </c>
    </row>
    <row r="645" spans="32:37" x14ac:dyDescent="0.3">
      <c r="AF645" s="14" t="s">
        <v>948</v>
      </c>
      <c r="AG645" s="14"/>
      <c r="AH645" t="s">
        <v>1002</v>
      </c>
      <c r="AI645" t="s">
        <v>516</v>
      </c>
      <c r="AJ645">
        <v>42569</v>
      </c>
      <c r="AK645" t="s">
        <v>1041</v>
      </c>
    </row>
    <row r="646" spans="32:37" x14ac:dyDescent="0.3">
      <c r="AF646" s="14" t="s">
        <v>853</v>
      </c>
      <c r="AG646" s="14"/>
      <c r="AH646" t="s">
        <v>1003</v>
      </c>
      <c r="AI646" t="s">
        <v>516</v>
      </c>
      <c r="AJ646">
        <v>42185</v>
      </c>
      <c r="AK646" t="s">
        <v>1041</v>
      </c>
    </row>
    <row r="647" spans="32:37" x14ac:dyDescent="0.3">
      <c r="AF647" s="14" t="s">
        <v>709</v>
      </c>
      <c r="AG647" s="14"/>
      <c r="AH647" t="s">
        <v>1004</v>
      </c>
      <c r="AI647" t="s">
        <v>258</v>
      </c>
      <c r="AJ647">
        <v>42612</v>
      </c>
      <c r="AK647" t="s">
        <v>1041</v>
      </c>
    </row>
    <row r="648" spans="32:37" x14ac:dyDescent="0.3">
      <c r="AF648" s="14" t="s">
        <v>747</v>
      </c>
      <c r="AG648" s="14"/>
      <c r="AH648" t="s">
        <v>1005</v>
      </c>
      <c r="AI648" t="s">
        <v>258</v>
      </c>
      <c r="AJ648">
        <v>42624</v>
      </c>
      <c r="AK648" t="s">
        <v>1041</v>
      </c>
    </row>
    <row r="649" spans="32:37" x14ac:dyDescent="0.3">
      <c r="AF649" s="14" t="s">
        <v>819</v>
      </c>
      <c r="AG649" s="14"/>
      <c r="AH649" t="s">
        <v>1006</v>
      </c>
      <c r="AI649" t="s">
        <v>258</v>
      </c>
      <c r="AJ649">
        <v>42628</v>
      </c>
      <c r="AK649" t="s">
        <v>1041</v>
      </c>
    </row>
    <row r="650" spans="32:37" x14ac:dyDescent="0.3">
      <c r="AF650" s="14" t="s">
        <v>855</v>
      </c>
      <c r="AG650" s="14"/>
      <c r="AH650" t="s">
        <v>1007</v>
      </c>
      <c r="AI650" t="s">
        <v>1008</v>
      </c>
      <c r="AJ650">
        <v>42631</v>
      </c>
      <c r="AK650" t="s">
        <v>1037</v>
      </c>
    </row>
    <row r="651" spans="32:37" x14ac:dyDescent="0.3">
      <c r="AF651" s="14" t="s">
        <v>531</v>
      </c>
      <c r="AG651" s="14"/>
      <c r="AH651" t="s">
        <v>1009</v>
      </c>
      <c r="AI651" t="s">
        <v>258</v>
      </c>
      <c r="AJ651">
        <v>43281</v>
      </c>
      <c r="AK651" t="s">
        <v>1038</v>
      </c>
    </row>
    <row r="652" spans="32:37" x14ac:dyDescent="0.3">
      <c r="AF652" s="14" t="s">
        <v>949</v>
      </c>
      <c r="AG652" s="14"/>
      <c r="AH652" t="s">
        <v>1010</v>
      </c>
      <c r="AI652" t="s">
        <v>243</v>
      </c>
      <c r="AJ652">
        <v>42645</v>
      </c>
      <c r="AK652" t="s">
        <v>1041</v>
      </c>
    </row>
    <row r="653" spans="32:37" x14ac:dyDescent="0.3">
      <c r="AF653" s="14" t="s">
        <v>837</v>
      </c>
      <c r="AG653" s="14"/>
      <c r="AH653" t="s">
        <v>1011</v>
      </c>
      <c r="AI653" t="s">
        <v>1012</v>
      </c>
      <c r="AJ653">
        <v>43739</v>
      </c>
      <c r="AK653" t="s">
        <v>1034</v>
      </c>
    </row>
    <row r="654" spans="32:37" x14ac:dyDescent="0.3">
      <c r="AF654" s="14" t="s">
        <v>894</v>
      </c>
      <c r="AG654" s="14"/>
      <c r="AH654" t="s">
        <v>1013</v>
      </c>
      <c r="AI654" t="s">
        <v>405</v>
      </c>
      <c r="AJ654">
        <v>43007</v>
      </c>
      <c r="AK654" t="s">
        <v>1037</v>
      </c>
    </row>
    <row r="655" spans="32:37" x14ac:dyDescent="0.3">
      <c r="AF655" s="14" t="s">
        <v>962</v>
      </c>
      <c r="AG655" s="14"/>
      <c r="AH655" t="s">
        <v>1014</v>
      </c>
      <c r="AI655" t="s">
        <v>343</v>
      </c>
      <c r="AJ655">
        <v>42644</v>
      </c>
      <c r="AK655" t="s">
        <v>1037</v>
      </c>
    </row>
    <row r="656" spans="32:37" x14ac:dyDescent="0.3">
      <c r="AF656" s="14" t="s">
        <v>691</v>
      </c>
      <c r="AG656" s="14"/>
      <c r="AH656" t="s">
        <v>1015</v>
      </c>
      <c r="AI656" t="s">
        <v>343</v>
      </c>
      <c r="AJ656">
        <v>42644</v>
      </c>
      <c r="AK656" t="s">
        <v>1037</v>
      </c>
    </row>
    <row r="657" spans="32:37" x14ac:dyDescent="0.3">
      <c r="AF657" s="14" t="s">
        <v>609</v>
      </c>
      <c r="AG657" s="14"/>
      <c r="AH657" t="s">
        <v>1016</v>
      </c>
      <c r="AI657" t="s">
        <v>548</v>
      </c>
      <c r="AJ657">
        <v>43372</v>
      </c>
      <c r="AK657" t="s">
        <v>1042</v>
      </c>
    </row>
    <row r="658" spans="32:37" x14ac:dyDescent="0.3">
      <c r="AF658" s="14" t="s">
        <v>992</v>
      </c>
      <c r="AG658" s="14"/>
      <c r="AH658" t="s">
        <v>1017</v>
      </c>
      <c r="AI658" t="s">
        <v>312</v>
      </c>
      <c r="AJ658">
        <v>42490</v>
      </c>
      <c r="AK658" t="s">
        <v>1035</v>
      </c>
    </row>
    <row r="659" spans="32:37" x14ac:dyDescent="0.3">
      <c r="AF659" s="14" t="s">
        <v>767</v>
      </c>
      <c r="AG659" s="14"/>
      <c r="AH659" t="s">
        <v>1018</v>
      </c>
      <c r="AI659" t="s">
        <v>258</v>
      </c>
      <c r="AJ659">
        <v>42605</v>
      </c>
      <c r="AK659" t="s">
        <v>1041</v>
      </c>
    </row>
    <row r="660" spans="32:37" x14ac:dyDescent="0.3">
      <c r="AF660" s="14" t="s">
        <v>975</v>
      </c>
      <c r="AG660" s="14"/>
      <c r="AH660" t="s">
        <v>1019</v>
      </c>
      <c r="AI660" t="s">
        <v>352</v>
      </c>
      <c r="AJ660">
        <v>41380</v>
      </c>
      <c r="AK660" t="s">
        <v>1035</v>
      </c>
    </row>
    <row r="661" spans="32:37" x14ac:dyDescent="0.3">
      <c r="AF661" s="14" t="s">
        <v>946</v>
      </c>
      <c r="AG661" s="14"/>
      <c r="AH661" t="s">
        <v>1020</v>
      </c>
      <c r="AI661" t="s">
        <v>1021</v>
      </c>
      <c r="AJ661">
        <v>42651</v>
      </c>
      <c r="AK661" t="s">
        <v>1037</v>
      </c>
    </row>
    <row r="662" spans="32:37" x14ac:dyDescent="0.3">
      <c r="AF662" s="14" t="s">
        <v>977</v>
      </c>
      <c r="AG662" s="14"/>
      <c r="AH662" t="s">
        <v>1022</v>
      </c>
      <c r="AI662" t="s">
        <v>824</v>
      </c>
      <c r="AJ662">
        <v>42449</v>
      </c>
      <c r="AK662" t="s">
        <v>1044</v>
      </c>
    </row>
    <row r="663" spans="32:37" x14ac:dyDescent="0.3">
      <c r="AF663" s="14" t="s">
        <v>980</v>
      </c>
      <c r="AG663" s="14"/>
      <c r="AH663" t="s">
        <v>1023</v>
      </c>
      <c r="AI663" t="s">
        <v>258</v>
      </c>
      <c r="AJ663">
        <v>42648</v>
      </c>
      <c r="AK663" t="s">
        <v>1041</v>
      </c>
    </row>
    <row r="664" spans="32:37" x14ac:dyDescent="0.3">
      <c r="AF664" s="14" t="s">
        <v>868</v>
      </c>
      <c r="AG664" s="14"/>
      <c r="AH664" t="s">
        <v>1024</v>
      </c>
      <c r="AI664" t="s">
        <v>835</v>
      </c>
      <c r="AJ664">
        <v>42675</v>
      </c>
      <c r="AK664" t="s">
        <v>1039</v>
      </c>
    </row>
    <row r="665" spans="32:37" x14ac:dyDescent="0.3">
      <c r="AF665" s="14" t="s">
        <v>673</v>
      </c>
      <c r="AG665" s="14"/>
      <c r="AH665" t="s">
        <v>1025</v>
      </c>
      <c r="AI665" t="s">
        <v>243</v>
      </c>
      <c r="AJ665">
        <v>43204</v>
      </c>
      <c r="AK665" t="s">
        <v>1038</v>
      </c>
    </row>
    <row r="666" spans="32:37" x14ac:dyDescent="0.3">
      <c r="AF666" s="14" t="s">
        <v>302</v>
      </c>
      <c r="AG666" s="14"/>
      <c r="AH666" t="s">
        <v>1026</v>
      </c>
      <c r="AI666" t="s">
        <v>258</v>
      </c>
      <c r="AJ666">
        <v>42686</v>
      </c>
      <c r="AK666" t="s">
        <v>1041</v>
      </c>
    </row>
    <row r="667" spans="32:37" x14ac:dyDescent="0.3">
      <c r="AF667" s="14" t="s">
        <v>585</v>
      </c>
      <c r="AG667" s="14"/>
      <c r="AH667" t="s">
        <v>1027</v>
      </c>
      <c r="AI667" t="s">
        <v>407</v>
      </c>
      <c r="AJ667">
        <v>42686</v>
      </c>
      <c r="AK667" t="s">
        <v>1035</v>
      </c>
    </row>
    <row r="767" spans="32:32" x14ac:dyDescent="0.3">
      <c r="AF767" t="s">
        <v>226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enario">
    <tabColor rgb="FF0070C0"/>
  </sheetPr>
  <dimension ref="A2:W31"/>
  <sheetViews>
    <sheetView showGridLines="0" showRowColHeaders="0" zoomScaleNormal="100" workbookViewId="0"/>
  </sheetViews>
  <sheetFormatPr defaultRowHeight="14.4" outlineLevelCol="1" x14ac:dyDescent="0.3"/>
  <cols>
    <col min="1" max="1" width="5.109375" customWidth="1"/>
    <col min="2" max="2" width="19.109375" bestFit="1" customWidth="1"/>
    <col min="3" max="4" width="11" customWidth="1"/>
    <col min="5" max="5" width="5.5546875" customWidth="1"/>
    <col min="6" max="6" width="7.33203125" customWidth="1"/>
    <col min="7" max="8" width="5.109375" customWidth="1"/>
    <col min="9" max="9" width="10.6640625" hidden="1" customWidth="1" outlineLevel="1"/>
    <col min="10" max="10" width="12.33203125" customWidth="1" collapsed="1"/>
    <col min="11" max="11" width="17.21875" bestFit="1" customWidth="1"/>
    <col min="15" max="15" width="5.109375" customWidth="1"/>
    <col min="16" max="16" width="12.77734375" customWidth="1"/>
    <col min="18" max="18" width="12.77734375" bestFit="1" customWidth="1"/>
    <col min="19" max="19" width="8.5546875" customWidth="1"/>
    <col min="20" max="20" width="5.109375" customWidth="1"/>
    <col min="21" max="21" width="22.77734375" customWidth="1"/>
    <col min="22" max="22" width="8.88671875" hidden="1" customWidth="1" outlineLevel="1"/>
    <col min="23" max="23" width="8.88671875" collapsed="1"/>
  </cols>
  <sheetData>
    <row r="2" spans="1:23" ht="15" thickBot="1" x14ac:dyDescent="0.35">
      <c r="A2" s="7"/>
      <c r="B2" s="35" t="s">
        <v>3</v>
      </c>
      <c r="C2" s="3"/>
      <c r="D2" s="1"/>
      <c r="E2" s="1"/>
      <c r="F2" s="7"/>
      <c r="G2" s="7"/>
      <c r="H2" s="6" t="s">
        <v>143</v>
      </c>
      <c r="I2" s="5"/>
      <c r="J2" s="5"/>
      <c r="K2" s="1"/>
      <c r="O2" s="7"/>
      <c r="P2" s="4" t="s">
        <v>167</v>
      </c>
      <c r="Q2" s="4"/>
      <c r="R2" s="1"/>
      <c r="S2" s="7"/>
      <c r="T2" s="7"/>
      <c r="U2" s="16" t="s">
        <v>156</v>
      </c>
      <c r="V2" s="16"/>
      <c r="W2" s="1"/>
    </row>
    <row r="3" spans="1:23" ht="15.6" thickTop="1" thickBot="1" x14ac:dyDescent="0.35"/>
    <row r="4" spans="1:23" ht="15" thickBot="1" x14ac:dyDescent="0.35">
      <c r="C4" t="s">
        <v>165</v>
      </c>
      <c r="D4" t="s">
        <v>166</v>
      </c>
      <c r="H4" s="8" t="s">
        <v>144</v>
      </c>
      <c r="J4" s="21"/>
      <c r="K4" s="28" t="str">
        <f>IF(ISBLANK(site_code),"&lt; NEW SITE &gt;",INDEX(SQL_Sites[customer],MATCH(site_code,SQL_Sites[id],0)))</f>
        <v>&lt; NEW SITE &gt;</v>
      </c>
      <c r="P4" s="12" t="s">
        <v>154</v>
      </c>
      <c r="U4" s="8"/>
      <c r="V4" s="18" t="b">
        <v>0</v>
      </c>
    </row>
    <row r="5" spans="1:23" ht="15" thickBot="1" x14ac:dyDescent="0.35">
      <c r="B5" s="8" t="s">
        <v>162</v>
      </c>
      <c r="C5" s="20"/>
      <c r="D5" s="20"/>
      <c r="F5" s="8"/>
      <c r="P5" s="7" t="s">
        <v>7</v>
      </c>
      <c r="Q5" s="7" t="s">
        <v>8</v>
      </c>
      <c r="R5" t="s">
        <v>168</v>
      </c>
      <c r="S5" t="s">
        <v>141</v>
      </c>
      <c r="U5" s="8"/>
      <c r="V5" s="19" t="b">
        <v>0</v>
      </c>
    </row>
    <row r="6" spans="1:23" ht="15" thickBot="1" x14ac:dyDescent="0.35">
      <c r="B6" s="8" t="s">
        <v>163</v>
      </c>
      <c r="C6" s="29"/>
      <c r="D6" s="29"/>
      <c r="E6" s="30"/>
      <c r="F6" t="s">
        <v>1030</v>
      </c>
      <c r="P6" s="23"/>
      <c r="Q6" s="23"/>
      <c r="R6" s="24"/>
      <c r="S6" s="25">
        <f>SUMIFS(SQL_Modules[rating], SQL_Modules[model], Roadmap[[#This Row],[model]], SQL_Modules[mark], Roadmap[[#This Row],[mark]], SQL_Modules[model_number], Roadmap[[#This Row],[model number]])</f>
        <v>0</v>
      </c>
      <c r="U6" s="8"/>
      <c r="V6" s="18" t="b">
        <v>1</v>
      </c>
    </row>
    <row r="7" spans="1:23" ht="15" thickBot="1" x14ac:dyDescent="0.35">
      <c r="B7" s="8" t="s">
        <v>164</v>
      </c>
      <c r="C7" s="20"/>
      <c r="D7" s="20"/>
      <c r="H7" s="2" t="s">
        <v>155</v>
      </c>
      <c r="I7" s="2"/>
      <c r="J7" s="2"/>
      <c r="K7" s="1"/>
      <c r="L7" s="1"/>
      <c r="U7" s="8"/>
      <c r="V7" s="18" t="b">
        <v>0</v>
      </c>
    </row>
    <row r="8" spans="1:23" ht="15" thickBot="1" x14ac:dyDescent="0.35">
      <c r="B8" s="8"/>
      <c r="U8" s="17"/>
      <c r="V8" s="18" t="b">
        <v>1</v>
      </c>
    </row>
    <row r="9" spans="1:23" ht="15" thickBot="1" x14ac:dyDescent="0.35">
      <c r="B9" s="17" t="s">
        <v>169</v>
      </c>
      <c r="C9" s="21"/>
      <c r="D9" s="28" t="str">
        <f t="array" ref="D9">IF(ISBLANK(site_code),IF(ISBLANK(xl_deal),"",xl_deal),
INDEX(Contracts[types],
IF(INDEX(SQL_Sites[contract],MATCH(site_code,SQL_Sites[id],0))="NONE",1,
IFERROR(MATCH(1,(COUNTIFS(INDEX(SQL_Sites[contract],MATCH(site_code,SQL_Sites[id],0)),Contracts[types]&amp;"*")),0),ROWS(Contracts[types])))))</f>
        <v/>
      </c>
      <c r="H9" s="8" t="s">
        <v>0</v>
      </c>
      <c r="I9" s="32">
        <v>43739</v>
      </c>
      <c r="J9" s="33">
        <f>IF(ISBLANK(site_code),EDATE(DATE(YEAR(xl_date),MONTH(xl_date)+1,1),xl_months-12),INDEX(SQL_Sites[acceptance_date],MATCH(site_code,SQL_Sites[id],0)))</f>
        <v>43770</v>
      </c>
    </row>
    <row r="10" spans="1:23" ht="15" thickBot="1" x14ac:dyDescent="0.35">
      <c r="B10" s="8"/>
      <c r="I10" s="22">
        <v>12</v>
      </c>
    </row>
    <row r="11" spans="1:23" ht="15" thickBot="1" x14ac:dyDescent="0.35">
      <c r="B11" s="8" t="s">
        <v>1</v>
      </c>
      <c r="C11" s="21"/>
      <c r="D11" t="s">
        <v>2</v>
      </c>
      <c r="H11" s="8" t="s">
        <v>170</v>
      </c>
      <c r="J11" s="27"/>
      <c r="K11" t="s">
        <v>172</v>
      </c>
      <c r="L11" s="8" t="s">
        <v>171</v>
      </c>
      <c r="M11" s="26">
        <f>IF(ISBLANK(J11),1,IFERROR(J11/SUM(NewServers[nameplate]),1))</f>
        <v>1</v>
      </c>
      <c r="P11" s="9"/>
      <c r="Q11" s="9"/>
    </row>
    <row r="12" spans="1:23" x14ac:dyDescent="0.3">
      <c r="P12" s="15"/>
      <c r="Q12" s="15"/>
    </row>
    <row r="13" spans="1:23" x14ac:dyDescent="0.3">
      <c r="B13" s="8" t="s">
        <v>159</v>
      </c>
      <c r="C13" t="s">
        <v>157</v>
      </c>
      <c r="D13" t="s">
        <v>158</v>
      </c>
      <c r="H13" s="8" t="s">
        <v>153</v>
      </c>
      <c r="P13" s="15"/>
      <c r="Q13" s="15"/>
    </row>
    <row r="14" spans="1:23" x14ac:dyDescent="0.3">
      <c r="C14" s="22"/>
      <c r="D14" s="22"/>
      <c r="I14" s="8" t="s">
        <v>149</v>
      </c>
      <c r="J14" t="s">
        <v>7</v>
      </c>
      <c r="K14" t="s">
        <v>168</v>
      </c>
      <c r="L14" t="s">
        <v>148</v>
      </c>
      <c r="M14" t="s">
        <v>150</v>
      </c>
      <c r="N14" t="s">
        <v>151</v>
      </c>
      <c r="P14" s="15"/>
      <c r="Q14" s="15"/>
    </row>
    <row r="15" spans="1:23" x14ac:dyDescent="0.3">
      <c r="I15">
        <f>ROW()-ROW(NewServers[[#Headers],[server number]])</f>
        <v>1</v>
      </c>
      <c r="J15" s="22"/>
      <c r="K15" s="22"/>
      <c r="L15" s="25">
        <f>SUMIFS(SQL_Servers[nameplate], SQL_Servers[model], NewServers[[#This Row],[model]], SQL_Servers[model_number], NewServers[[#This Row],[model number]])</f>
        <v>0</v>
      </c>
      <c r="M15" s="25">
        <f>SUMIFS(SQL_Servers[enclosures], SQL_Servers[model], NewServers[[#This Row],[model]], SQL_Servers[model_number], NewServers[[#This Row],[model number]])</f>
        <v>0</v>
      </c>
      <c r="N15" s="25">
        <f>SUMIFS(SQL_Servers[plus_one], SQL_Servers[model], NewServers[[#This Row],[model]], SQL_Servers[model_number], NewServers[[#This Row],[model number]])</f>
        <v>0</v>
      </c>
    </row>
    <row r="16" spans="1:23" x14ac:dyDescent="0.3">
      <c r="I16" t="s">
        <v>152</v>
      </c>
      <c r="L16" s="13">
        <f>SUM(NewServers[nameplate])</f>
        <v>0</v>
      </c>
    </row>
    <row r="18" spans="1:20" x14ac:dyDescent="0.3">
      <c r="I18" s="14"/>
    </row>
    <row r="19" spans="1:20" x14ac:dyDescent="0.3">
      <c r="I19" s="14"/>
    </row>
    <row r="20" spans="1:20" x14ac:dyDescent="0.3">
      <c r="I20" s="14"/>
    </row>
    <row r="21" spans="1:20" x14ac:dyDescent="0.3">
      <c r="J21" s="34"/>
    </row>
    <row r="29" spans="1:20" x14ac:dyDescent="0.3">
      <c r="M29" s="7"/>
    </row>
    <row r="31" spans="1:20" x14ac:dyDescent="0.3">
      <c r="A31" s="7"/>
      <c r="E31" s="7"/>
      <c r="F31" s="7"/>
      <c r="G31" s="7"/>
      <c r="H31" s="7"/>
      <c r="O31" s="7"/>
      <c r="T31" s="7"/>
    </row>
  </sheetData>
  <sheetProtection selectLockedCells="1"/>
  <conditionalFormatting sqref="C6:D6">
    <cfRule type="expression" dxfId="22" priority="4">
      <formula>ISBLANK(window)</formula>
    </cfRule>
    <cfRule type="expression" dxfId="21" priority="5">
      <formula>AND(ISBLANK(wtmo_limit),ISBLANK(weff_limit),NOT(ISBLANK(window)))</formula>
    </cfRule>
  </conditionalFormatting>
  <conditionalFormatting sqref="J4 J15:K15 J9 C11 C9">
    <cfRule type="containsBlanks" dxfId="20" priority="9">
      <formula>LEN(TRIM(C4))=0</formula>
    </cfRule>
  </conditionalFormatting>
  <conditionalFormatting sqref="J4">
    <cfRule type="expression" dxfId="19" priority="6">
      <formula>COUNTIFS(new_models,"?*")&gt;0</formula>
    </cfRule>
  </conditionalFormatting>
  <conditionalFormatting sqref="C5:D7">
    <cfRule type="expression" dxfId="18" priority="7">
      <formula>AND(ISBLANK(ctmo_limit),ISBLANK(ceff_limit),ISBLANK(wtmo_limit),ISBLANK(weff_limit),ISBLANK(ptmo_limit),ISBLANK(peff_limit))</formula>
    </cfRule>
  </conditionalFormatting>
  <conditionalFormatting sqref="P6:R6">
    <cfRule type="expression" dxfId="17" priority="10">
      <formula>AND(COUNTIFS($P$6:$R$6,"*?"),ISBLANK(P6))</formula>
    </cfRule>
  </conditionalFormatting>
  <conditionalFormatting sqref="J9">
    <cfRule type="expression" dxfId="16" priority="2">
      <formula>NOT(ISBLANK(site_code))</formula>
    </cfRule>
  </conditionalFormatting>
  <conditionalFormatting sqref="C9">
    <cfRule type="expression" dxfId="15" priority="1">
      <formula>NOT(ISBLANK(site_code))</formula>
    </cfRule>
  </conditionalFormatting>
  <dataValidations disablePrompts="1" count="8">
    <dataValidation type="list" allowBlank="1" showInputMessage="1" showErrorMessage="1" sqref="J15">
      <formula1>servers_dropdown_1_model</formula1>
    </dataValidation>
    <dataValidation type="list" allowBlank="1" showInputMessage="1" showErrorMessage="1" sqref="C9">
      <formula1>contracts_dropdown</formula1>
    </dataValidation>
    <dataValidation type="list" allowBlank="1" showInputMessage="1" showErrorMessage="1" sqref="P6">
      <formula1>modules_dropdown_1_model</formula1>
    </dataValidation>
    <dataValidation type="list" allowBlank="1" showInputMessage="1" showErrorMessage="1" sqref="J4">
      <formula1>sites_dropdown</formula1>
    </dataValidation>
    <dataValidation type="list" allowBlank="1" showInputMessage="1" showErrorMessage="1" sqref="K15">
      <formula1>OFFSET(servers_dropdown_2_model_number,MATCH($J15,servers_dropdown_2_model,0)-1,0,COUNTIFS(servers_dropdown_2_model,$J15),1)</formula1>
    </dataValidation>
    <dataValidation type="list" allowBlank="1" showInputMessage="1" showErrorMessage="1" sqref="E6">
      <formula1>"1,2,3,4,5,6,7,8,9,10,11,12"</formula1>
    </dataValidation>
    <dataValidation type="list" allowBlank="1" showInputMessage="1" showErrorMessage="1" sqref="Q6">
      <formula1>OFFSET(modules_dropdown_2_mark,MATCH($P6,modules_dropdown_2_model,0)-1,0,COUNTIFS(modules_dropdown_2_model,$P6),1)</formula1>
    </dataValidation>
    <dataValidation type="list" allowBlank="1" showInputMessage="1" showErrorMessage="1" sqref="R6">
      <formula1>OFFSET(modules_dropdown_3_model_number,MATCH(1,INDEX((modules_dropdown_3_model=$P6)*(modules_dropdown_3_mark=$Q6),0,1),0)-1,0,COUNTIFS(modules_dropdown_3_model,$P6,modules_dropdown_3_mark,$Q6),1)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20</xdr:col>
                    <xdr:colOff>182880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20</xdr:col>
                    <xdr:colOff>182880</xdr:colOff>
                    <xdr:row>4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20</xdr:col>
                    <xdr:colOff>182880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20</xdr:col>
                    <xdr:colOff>182880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20</xdr:col>
                    <xdr:colOff>182880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9" name="Button 25">
              <controlPr defaultSize="0" print="0" autoFill="0" autoPict="0" macro="[0]!Scenario.Remove_Server">
                <anchor moveWithCells="1" sizeWithCells="1">
                  <from>
                    <xdr:col>7</xdr:col>
                    <xdr:colOff>60960</xdr:colOff>
                    <xdr:row>14</xdr:row>
                    <xdr:rowOff>175260</xdr:rowOff>
                  </from>
                  <to>
                    <xdr:col>7</xdr:col>
                    <xdr:colOff>259080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10" name="Button 30">
              <controlPr defaultSize="0" print="0" autoFill="0" autoPict="0" macro="[0]!Scenario.Add_Server">
                <anchor moveWithCells="1" sizeWithCells="1">
                  <from>
                    <xdr:col>7</xdr:col>
                    <xdr:colOff>60960</xdr:colOff>
                    <xdr:row>14</xdr:row>
                    <xdr:rowOff>0</xdr:rowOff>
                  </from>
                  <to>
                    <xdr:col>7</xdr:col>
                    <xdr:colOff>259080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1" name="Button 37">
              <controlPr defaultSize="0" print="0" autoFill="0" autoPict="0" macro="[0]!Scenario.Remove_Roadmap">
                <anchor moveWithCells="1" sizeWithCells="1">
                  <from>
                    <xdr:col>14</xdr:col>
                    <xdr:colOff>60960</xdr:colOff>
                    <xdr:row>6</xdr:row>
                    <xdr:rowOff>7620</xdr:rowOff>
                  </from>
                  <to>
                    <xdr:col>14</xdr:col>
                    <xdr:colOff>259080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2" name="Button 38">
              <controlPr defaultSize="0" print="0" autoFill="0" autoPict="0" macro="[0]!Scenario.Add_Roadmap">
                <anchor moveWithCells="1" sizeWithCells="1">
                  <from>
                    <xdr:col>14</xdr:col>
                    <xdr:colOff>60960</xdr:colOff>
                    <xdr:row>5</xdr:row>
                    <xdr:rowOff>7620</xdr:rowOff>
                  </from>
                  <to>
                    <xdr:col>14</xdr:col>
                    <xdr:colOff>259080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3" name="Button 39">
              <controlPr defaultSize="0" print="0" autoFill="0" autoPict="0" macro="[0]!Scenario.Remove_Nonreplace">
                <anchor moveWithCells="1" sizeWithCells="1">
                  <from>
                    <xdr:col>1</xdr:col>
                    <xdr:colOff>1028700</xdr:colOff>
                    <xdr:row>14</xdr:row>
                    <xdr:rowOff>0</xdr:rowOff>
                  </from>
                  <to>
                    <xdr:col>1</xdr:col>
                    <xdr:colOff>1226820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4" name="Button 40">
              <controlPr defaultSize="0" print="0" autoFill="0" autoPict="0" macro="[0]!Scenario.Add_Nonreplace">
                <anchor moveWithCells="1" sizeWithCells="1">
                  <from>
                    <xdr:col>1</xdr:col>
                    <xdr:colOff>1028700</xdr:colOff>
                    <xdr:row>13</xdr:row>
                    <xdr:rowOff>0</xdr:rowOff>
                  </from>
                  <to>
                    <xdr:col>1</xdr:col>
                    <xdr:colOff>1226820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5" name="Button 46">
              <controlPr defaultSize="0" print="0" autoFill="0" autoPict="0" macro="[0]!Scenario.Delete_Scenari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220980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16" name="Spinner 49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121920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7"/>
    <tablePart r:id="rId18"/>
    <tablePart r:id="rId1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D0FCB3-2796-4268-AA1C-472A03AD14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⚙</vt:lpstr>
      <vt:lpstr>📚</vt:lpstr>
      <vt:lpstr>📃</vt:lpstr>
      <vt:lpstr>'📃'!allow_early_deploy</vt:lpstr>
      <vt:lpstr>'📃'!allow_redeploy</vt:lpstr>
      <vt:lpstr>'📃'!allow_repairs</vt:lpstr>
      <vt:lpstr>'📃'!ceff_limit</vt:lpstr>
      <vt:lpstr>'📃'!contract_deal</vt:lpstr>
      <vt:lpstr>'📃'!contract_length</vt:lpstr>
      <vt:lpstr>contracts_dropdown</vt:lpstr>
      <vt:lpstr>'📃'!ctmo_limit</vt:lpstr>
      <vt:lpstr>'📃'!eoc_replacements</vt:lpstr>
      <vt:lpstr>modules_dropdown_1_model</vt:lpstr>
      <vt:lpstr>modules_dropdown_2_mark</vt:lpstr>
      <vt:lpstr>modules_dropdown_2_model</vt:lpstr>
      <vt:lpstr>modules_dropdown_3_mark</vt:lpstr>
      <vt:lpstr>modules_dropdown_3_model</vt:lpstr>
      <vt:lpstr>modules_dropdown_3_model_number</vt:lpstr>
      <vt:lpstr>'📃'!multiplier</vt:lpstr>
      <vt:lpstr>'⚙'!n_runs</vt:lpstr>
      <vt:lpstr>'⚙'!n_sites</vt:lpstr>
      <vt:lpstr>'⚙'!n_years</vt:lpstr>
      <vt:lpstr>new_models</vt:lpstr>
      <vt:lpstr>'📃'!peff_limit</vt:lpstr>
      <vt:lpstr>'📃'!ptmo_limit</vt:lpstr>
      <vt:lpstr>servers_dropdown_1_model</vt:lpstr>
      <vt:lpstr>servers_dropdown_2_model</vt:lpstr>
      <vt:lpstr>servers_dropdown_2_model_number</vt:lpstr>
      <vt:lpstr>'📃'!site_code</vt:lpstr>
      <vt:lpstr>sites_dropdown</vt:lpstr>
      <vt:lpstr>'📃'!start_date</vt:lpstr>
      <vt:lpstr>'📃'!target_size</vt:lpstr>
      <vt:lpstr>'📃'!use_best_only</vt:lpstr>
      <vt:lpstr>'📃'!weff_limit</vt:lpstr>
      <vt:lpstr>'📃'!window</vt:lpstr>
      <vt:lpstr>'📃'!wtmo_limit</vt:lpstr>
      <vt:lpstr>'📃'!xl_date</vt:lpstr>
      <vt:lpstr>'📃'!xl_deal</vt:lpstr>
      <vt:lpstr>'📃'!xl_months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Franzonello</dc:creator>
  <cp:lastModifiedBy>Michael Franzonello</cp:lastModifiedBy>
  <dcterms:created xsi:type="dcterms:W3CDTF">2015-06-05T18:17:20Z</dcterms:created>
  <dcterms:modified xsi:type="dcterms:W3CDTF">2019-10-24T15:24:15Z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3d8df67f-b9a2-487c-b0f4-da6c1c184d9b</vt:lpwstr>
  </property>
  <property fmtid="{D5CDD505-2E9C-101B-9397-08002B2CF9AE}" pid="3" name="ConnectionInfosStorage">
    <vt:lpwstr>WorkbookXmlParts</vt:lpwstr>
  </property>
</Properties>
</file>